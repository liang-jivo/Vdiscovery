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S_vs_EU_Comparison" sheetId="2" state="visible" r:id="rId4"/>
    <sheet name="EU_Detail" sheetId="3" state="visible" r:id="rId5"/>
    <sheet name="Raw_EU_HS8480" sheetId="4" state="visible" r:id="rId6"/>
    <sheet name="Raw_US_8partn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<sst xmlns="http://schemas.openxmlformats.org/spreadsheetml/2006/main" count="77" uniqueCount="52">
  <si>
    <t xml:space="preserve">U.S. vs E.U. Mould Sourcing — China+1 Comparison</t>
  </si>
  <si>
    <t xml:space="preserve">HS 8480, identical 8-supplier basket (Canada, China, Japan, Malaysia, Singapore, Thailand, Taiwan, Vietnam). US=USD/US Census; EU=EUR/Eurostat Comext, EU-27 extra-EU imports.</t>
  </si>
  <si>
    <t xml:space="preserve">  Headline comparison (share of the 8-supplier basket)</t>
  </si>
  <si>
    <t xml:space="preserve">Metric</t>
  </si>
  <si>
    <t xml:space="preserve">United States</t>
  </si>
  <si>
    <t xml:space="preserve">European Union</t>
  </si>
  <si>
    <t xml:space="preserve">China share of basket, 2018</t>
  </si>
  <si>
    <t xml:space="preserve">China share of basket, 2025</t>
  </si>
  <si>
    <t xml:space="preserve">China CAGR 2018–2025</t>
  </si>
  <si>
    <t xml:space="preserve">SE Asia (MY+TH+VN) share, 2018</t>
  </si>
  <si>
    <t xml:space="preserve">SE Asia (MY+TH+VN) share, 2025</t>
  </si>
  <si>
    <t xml:space="preserve">SE Asia CAGR 2018–2025</t>
  </si>
  <si>
    <t xml:space="preserve">Basket total, 2025 (native ccy)</t>
  </si>
  <si>
    <t xml:space="preserve">Imports from China, 2025 (native)</t>
  </si>
  <si>
    <t xml:space="preserve">  Key findings</t>
  </si>
  <si>
    <t xml:space="preserve">1.  China+1 in moulds is a U.S. phenomenon, not a Western one. On the identical 8-supplier basket, China's share fell in the US (30%→24%, −7.3%/yr) but ROSE in the EU (88%→94%, +4.5%/yr) — China is at a record high into Europe.</t>
  </si>
  <si>
    <t xml:space="preserve">2.  The SE-Asia challengers (Malaysia+Thailand+Vietnam) surged in the US (+34%/yr, 0.4%→4.4% of basket) but stayed flat in the EU (~2%). European buyers have not diversified away from China.</t>
  </si>
  <si>
    <t xml:space="preserve">3.  Country signs flip: China −7% US / +5% EU; Malaysia +23% US / −9% EU; Thailand +42% US / +10% EU. Only Vietnam grows in BOTH markets (+22% US / +6.5% EU) — the most structurally competitive, least tariff-dependent SE-Asian supplier.</t>
  </si>
  <si>
    <t xml:space="preserve">4.  In absolute terms the EU now imports ~4–5× more Chinese mould value than the US (≈€1.59B vs ≈$0.35B), and the gap is still widening — the mirror image of the US, where Chinese buying peaked in 2018.</t>
  </si>
  <si>
    <t xml:space="preserve">5.  Read-through: the demand-side pull for China-alternative sourcing exists in the US market today, driven by US-specific trade policy (Section 301 since 2018, Section 232). It is largely absent in the EU. The tailwind is real but policy-contingent, not a universal structural shift.</t>
  </si>
  <si>
    <t xml:space="preserve">6.  Strategic implication: anchor the platform on US buyers first (behaviour change already underway); treat the EU as a latent/future market pending EU de-risking or CBAM catalysts. Favour Vietnam (robust in both markets); treat Malaysia's US momentum as more tariff-contingent (it is losing share in the EU).</t>
  </si>
  <si>
    <t xml:space="preserve">Scope note: the EU basket excludes intra-EU suppliers (Germany, Italy, Portugal), so '94%' = China's share of EU imports FROM these 8 non-EU countries, not of all EU mould sourcing. Currency differs (USD vs EUR); shares and CAGRs are currency-neutral and drive the comparison.</t>
  </si>
  <si>
    <t xml:space="preserve">China &amp; SE-Asia share of the 8-supplier basket, by year</t>
  </si>
  <si>
    <t xml:space="preserve">All values are live formulas referencing the raw sheets. US = US Census; EU = Eurostat Comext.</t>
  </si>
  <si>
    <t xml:space="preserve">Series</t>
  </si>
  <si>
    <t xml:space="preserve">China % of basket — US</t>
  </si>
  <si>
    <t xml:space="preserve">China % of basket — EU</t>
  </si>
  <si>
    <t xml:space="preserve">SE Asia % of basket — US</t>
  </si>
  <si>
    <t xml:space="preserve">SE Asia % of basket — EU</t>
  </si>
  <si>
    <t xml:space="preserve">Per-country: 2018→2025 (share of basket &amp; CAGR)</t>
  </si>
  <si>
    <t xml:space="preserve">Country</t>
  </si>
  <si>
    <t xml:space="preserve">US share Δ (pp)</t>
  </si>
  <si>
    <t xml:space="preserve">US CAGR 18–25</t>
  </si>
  <si>
    <t xml:space="preserve">EU share Δ (pp)</t>
  </si>
  <si>
    <t xml:space="preserve">EU CAGR 18–25</t>
  </si>
  <si>
    <t xml:space="preserve">Canada</t>
  </si>
  <si>
    <t xml:space="preserve">China</t>
  </si>
  <si>
    <t xml:space="preserve">Japan</t>
  </si>
  <si>
    <t xml:space="preserve">Malaysia</t>
  </si>
  <si>
    <t xml:space="preserve">Singapore</t>
  </si>
  <si>
    <t xml:space="preserve">Thailand</t>
  </si>
  <si>
    <t xml:space="preserve">Taiwan</t>
  </si>
  <si>
    <t xml:space="preserve">Vietnam</t>
  </si>
  <si>
    <t xml:space="preserve">EU-27 mould imports by supplier (HS 8480, EUR)</t>
  </si>
  <si>
    <t xml:space="preserve">Value, share of basket, and CAGR — live formulas. Source: Eurostat Comext.</t>
  </si>
  <si>
    <t xml:space="preserve">Supplier</t>
  </si>
  <si>
    <t xml:space="preserve">CAGR 18–25</t>
  </si>
  <si>
    <t xml:space="preserve">% basket 2025</t>
  </si>
  <si>
    <t xml:space="preserve">Basket total</t>
  </si>
  <si>
    <t xml:space="preserve">Partner</t>
  </si>
  <si>
    <t xml:space="preserve">Eurostat Comext, EU-27 reporter, extra-EU imports, EUR. HS 8480. 2017 interpolated (absent in source extract).</t>
  </si>
  <si>
    <t xml:space="preserve">US Census Bureau, customs value (general imports), USD. HS 8480.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</si>
</sst>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–"/>
    <numFmt numFmtId="166" formatCode="\$#,##0;&quot;($&quot;#,##0\);\–"/>
    <numFmt numFmtId="167" formatCode="\€#,##0;&quot;(€&quot;#,##0\);\–"/>
    <numFmt numFmtId="168" formatCode="0"/>
    <numFmt numFmtId="169" formatCode="\+0.0;\-0.0"/>
    <numFmt numFmtId="170" formatCode="0%"/>
    <numFmt numFmtId="171" formatCode="\€#,##0;&quot;(€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DFE5F0"/>
        <bgColor rgb="FFE7EEF9"/>
      </patternFill>
    </fill>
    <fill>
      <patternFill patternType="solid">
        <fgColor rgb="FFE7EEF9"/>
        <bgColor rgb="FFF2F5FB"/>
      </patternFill>
    </fill>
    <fill>
      <patternFill patternType="solid">
        <fgColor rgb="FFFBE9E9"/>
        <bgColor rgb="FFF2F5FB"/>
      </patternFill>
    </fill>
    <fill>
      <patternFill patternType="solid">
        <fgColor rgb="FFF2F5FB"/>
        <bgColor rgb="FFE7EE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5FB"/>
      <rgbColor rgb="FFE7EE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FE5F0"/>
      <rgbColor rgb="FFCCFFCC"/>
      <rgbColor rgb="FFFBE9E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share of 8-supplier basket: US vs EU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"United States"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US_vs_EU_Comparison!$B$4:$Y$4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  <c:lvl>
                  <c:pt idx="0">
                    <c:v>2005</c:v>
                  </c:pt>
                </c:lvl>
                <c:lvl>
                  <c:pt idx="0">
                    <c:v>2004</c:v>
                  </c:pt>
                </c:lvl>
                <c:lvl>
                  <c:pt idx="0">
                    <c:v>2003</c:v>
                  </c:pt>
                </c:lvl>
                <c:lvl>
                  <c:pt idx="0">
                    <c:v>2002</c:v>
                  </c:pt>
                </c:lvl>
              </c:multiLvlStrCache>
            </c:multiLvlStrRef>
          </c:cat>
          <c:val>
            <c:numRef>
              <c:f>US_vs_EU_Comparison!$B$5:$Y$5</c:f>
              <c:numCache>
                <c:formatCode>0.0%;\(0.0%\);\–</c:formatCode>
                <c:ptCount val="24"/>
                <c:pt idx="0">
                  <c:v>0.0283635515217573</c:v>
                </c:pt>
                <c:pt idx="1">
                  <c:v>0.0378248099167016</c:v>
                </c:pt>
                <c:pt idx="2">
                  <c:v>0.0483469439807549</c:v>
                </c:pt>
                <c:pt idx="3">
                  <c:v>0.0665886395411101</c:v>
                </c:pt>
                <c:pt idx="4">
                  <c:v>0.0896141813730667</c:v>
                </c:pt>
                <c:pt idx="5">
                  <c:v>0.142118425458451</c:v>
                </c:pt>
                <c:pt idx="6">
                  <c:v>0.160616627612329</c:v>
                </c:pt>
                <c:pt idx="7">
                  <c:v>0.185610307655934</c:v>
                </c:pt>
                <c:pt idx="8">
                  <c:v>0.224010120514032</c:v>
                </c:pt>
                <c:pt idx="9">
                  <c:v>0.256479374638589</c:v>
                </c:pt>
                <c:pt idx="10">
                  <c:v>0.272857833830302</c:v>
                </c:pt>
                <c:pt idx="11">
                  <c:v>0.26367396669507</c:v>
                </c:pt>
                <c:pt idx="12">
                  <c:v>0.279216378886275</c:v>
                </c:pt>
                <c:pt idx="13">
                  <c:v>0.298258587537409</c:v>
                </c:pt>
                <c:pt idx="14">
                  <c:v>0.276536972034433</c:v>
                </c:pt>
                <c:pt idx="15">
                  <c:v>0.296251893813533</c:v>
                </c:pt>
                <c:pt idx="16">
                  <c:v>0.30229939365352</c:v>
                </c:pt>
                <c:pt idx="17">
                  <c:v>0.291686913048442</c:v>
                </c:pt>
                <c:pt idx="18">
                  <c:v>0.269521128209699</c:v>
                </c:pt>
                <c:pt idx="19">
                  <c:v>0.257534409550857</c:v>
                </c:pt>
                <c:pt idx="20">
                  <c:v>0.24422587692936</c:v>
                </c:pt>
                <c:pt idx="21">
                  <c:v>0.230590294800048</c:v>
                </c:pt>
                <c:pt idx="22">
                  <c:v>0.249089224321048</c:v>
                </c:pt>
                <c:pt idx="23">
                  <c:v>0.244354212169049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"European Union"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US_vs_EU_Comparison!$B$4:$Y$4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  <c:lvl>
                  <c:pt idx="0">
                    <c:v>2005</c:v>
                  </c:pt>
                </c:lvl>
                <c:lvl>
                  <c:pt idx="0">
                    <c:v>2004</c:v>
                  </c:pt>
                </c:lvl>
                <c:lvl>
                  <c:pt idx="0">
                    <c:v>2003</c:v>
                  </c:pt>
                </c:lvl>
                <c:lvl>
                  <c:pt idx="0">
                    <c:v>2002</c:v>
                  </c:pt>
                </c:lvl>
              </c:multiLvlStrCache>
            </c:multiLvlStrRef>
          </c:cat>
          <c:val>
            <c:numRef>
              <c:f>US_vs_EU_Comparison!$B$6:$Y$6</c:f>
              <c:numCache>
                <c:formatCode>0.0%;\(0.0%\);\–</c:formatCode>
                <c:ptCount val="24"/>
                <c:pt idx="0">
                  <c:v>0.204341251418814</c:v>
                </c:pt>
                <c:pt idx="1">
                  <c:v>0.239987016418707</c:v>
                </c:pt>
                <c:pt idx="2">
                  <c:v>0.335794220243579</c:v>
                </c:pt>
                <c:pt idx="3">
                  <c:v>0.447536422917704</c:v>
                </c:pt>
                <c:pt idx="4">
                  <c:v>0.528962182549256</c:v>
                </c:pt>
                <c:pt idx="5">
                  <c:v>0.598518635140485</c:v>
                </c:pt>
                <c:pt idx="6">
                  <c:v>0.635378166804133</c:v>
                </c:pt>
                <c:pt idx="7">
                  <c:v>0.654178627823407</c:v>
                </c:pt>
                <c:pt idx="8">
                  <c:v>0.689197660019642</c:v>
                </c:pt>
                <c:pt idx="9">
                  <c:v>0.755452660539588</c:v>
                </c:pt>
                <c:pt idx="10">
                  <c:v>0.796157687266628</c:v>
                </c:pt>
                <c:pt idx="11">
                  <c:v>0.805996124481757</c:v>
                </c:pt>
                <c:pt idx="12">
                  <c:v>0.827295219386836</c:v>
                </c:pt>
                <c:pt idx="13">
                  <c:v>0.851661945492112</c:v>
                </c:pt>
                <c:pt idx="14">
                  <c:v>0.85132382161439</c:v>
                </c:pt>
                <c:pt idx="15">
                  <c:v>0.868732909283035</c:v>
                </c:pt>
                <c:pt idx="16">
                  <c:v>0.883053412225654</c:v>
                </c:pt>
                <c:pt idx="17">
                  <c:v>0.887914588127757</c:v>
                </c:pt>
                <c:pt idx="18">
                  <c:v>0.898138921185833</c:v>
                </c:pt>
                <c:pt idx="19">
                  <c:v>0.893242761170739</c:v>
                </c:pt>
                <c:pt idx="20">
                  <c:v>0.905623561760745</c:v>
                </c:pt>
                <c:pt idx="21">
                  <c:v>0.922212970963328</c:v>
                </c:pt>
                <c:pt idx="22">
                  <c:v>0.924385236249701</c:v>
                </c:pt>
                <c:pt idx="23">
                  <c:v>0.936375966767804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468702"/>
        <c:axId val="95250948"/>
      </c:lineChart>
      <c:catAx>
        <c:axId val="2646870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50948"/>
        <c:crosses val="autoZero"/>
        <c:auto val="1"/>
        <c:lblAlgn val="ctr"/>
        <c:lblOffset val="100"/>
        <c:noMultiLvlLbl val="0"/>
      </c:catAx>
      <c:valAx>
        <c:axId val="95250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68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 Asia (MY+TH+VN) share: US vs EU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"United States"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US_vs_EU_Comparison!$B$4:$Y$4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  <c:lvl>
                  <c:pt idx="0">
                    <c:v>2005</c:v>
                  </c:pt>
                </c:lvl>
                <c:lvl>
                  <c:pt idx="0">
                    <c:v>2004</c:v>
                  </c:pt>
                </c:lvl>
                <c:lvl>
                  <c:pt idx="0">
                    <c:v>2003</c:v>
                  </c:pt>
                </c:lvl>
                <c:lvl>
                  <c:pt idx="0">
                    <c:v>2002</c:v>
                  </c:pt>
                </c:lvl>
              </c:multiLvlStrCache>
            </c:multiLvlStrRef>
          </c:cat>
          <c:val>
            <c:numRef>
              <c:f>US_vs_EU_Comparison!$B$7:$Y$7</c:f>
              <c:numCache>
                <c:formatCode>0.0%;\(0.0%\);\–</c:formatCode>
                <c:ptCount val="24"/>
                <c:pt idx="0">
                  <c:v>0.00302869639959677</c:v>
                </c:pt>
                <c:pt idx="1">
                  <c:v>0.00356422538217931</c:v>
                </c:pt>
                <c:pt idx="2">
                  <c:v>0.00474703076349477</c:v>
                </c:pt>
                <c:pt idx="3">
                  <c:v>0.00282574250017028</c:v>
                </c:pt>
                <c:pt idx="4">
                  <c:v>0.00503720247031782</c:v>
                </c:pt>
                <c:pt idx="5">
                  <c:v>0.00729783977032268</c:v>
                </c:pt>
                <c:pt idx="6">
                  <c:v>0.00948395759879231</c:v>
                </c:pt>
                <c:pt idx="7">
                  <c:v>0.00712235906249403</c:v>
                </c:pt>
                <c:pt idx="8">
                  <c:v>0.00767896112405394</c:v>
                </c:pt>
                <c:pt idx="9">
                  <c:v>0.00787157901639491</c:v>
                </c:pt>
                <c:pt idx="10">
                  <c:v>0.00811681648818608</c:v>
                </c:pt>
                <c:pt idx="11">
                  <c:v>0.0055450393304376</c:v>
                </c:pt>
                <c:pt idx="12">
                  <c:v>0.00692234419926282</c:v>
                </c:pt>
                <c:pt idx="13">
                  <c:v>0.00531845153790099</c:v>
                </c:pt>
                <c:pt idx="14">
                  <c:v>0.0054128352240978</c:v>
                </c:pt>
                <c:pt idx="15">
                  <c:v>0.00508629937864241</c:v>
                </c:pt>
                <c:pt idx="16">
                  <c:v>0.00411896493104617</c:v>
                </c:pt>
                <c:pt idx="17">
                  <c:v>0.00758358603720241</c:v>
                </c:pt>
                <c:pt idx="18">
                  <c:v>0.0246437801446787</c:v>
                </c:pt>
                <c:pt idx="19">
                  <c:v>0.0273494924275504</c:v>
                </c:pt>
                <c:pt idx="20">
                  <c:v>0.0316869315481557</c:v>
                </c:pt>
                <c:pt idx="21">
                  <c:v>0.0319854469213236</c:v>
                </c:pt>
                <c:pt idx="22">
                  <c:v>0.039873928555931</c:v>
                </c:pt>
                <c:pt idx="23">
                  <c:v>0.0436615554845606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"European Union"</c:f>
              <c:strCache>
                <c:ptCount val="1"/>
                <c:pt idx="0">
                  <c:v>European Union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US_vs_EU_Comparison!$B$4:$Y$4</c:f>
              <c:multiLvlStrCache>
                <c:ptCount val="1"/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  <c:lvl>
                  <c:pt idx="0">
                    <c:v>2019</c:v>
                  </c:pt>
                </c:lvl>
                <c:lvl>
                  <c:pt idx="0">
                    <c:v>2018</c:v>
                  </c:pt>
                </c:lvl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  <c:lvl>
                  <c:pt idx="0">
                    <c:v>2014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  <c:lvl>
                  <c:pt idx="0">
                    <c:v>2010</c:v>
                  </c:pt>
                </c:lvl>
                <c:lvl>
                  <c:pt idx="0">
                    <c:v>2009</c:v>
                  </c:pt>
                </c:lvl>
                <c:lvl>
                  <c:pt idx="0">
                    <c:v>2008</c:v>
                  </c:pt>
                </c:lvl>
                <c:lvl>
                  <c:pt idx="0">
                    <c:v>2007</c:v>
                  </c:pt>
                </c:lvl>
                <c:lvl>
                  <c:pt idx="0">
                    <c:v>2006</c:v>
                  </c:pt>
                </c:lvl>
                <c:lvl>
                  <c:pt idx="0">
                    <c:v>2005</c:v>
                  </c:pt>
                </c:lvl>
                <c:lvl>
                  <c:pt idx="0">
                    <c:v>2004</c:v>
                  </c:pt>
                </c:lvl>
                <c:lvl>
                  <c:pt idx="0">
                    <c:v>2003</c:v>
                  </c:pt>
                </c:lvl>
                <c:lvl>
                  <c:pt idx="0">
                    <c:v>2002</c:v>
                  </c:pt>
                </c:lvl>
              </c:multiLvlStrCache>
            </c:multiLvlStrRef>
          </c:cat>
          <c:val>
            <c:numRef>
              <c:f>US_vs_EU_Comparison!$B$8:$Y$8</c:f>
              <c:numCache>
                <c:formatCode>0.0%;\(0.0%\);\–</c:formatCode>
                <c:ptCount val="24"/>
                <c:pt idx="0">
                  <c:v>0.062661865587231</c:v>
                </c:pt>
                <c:pt idx="1">
                  <c:v>0.055528521977253</c:v>
                </c:pt>
                <c:pt idx="2">
                  <c:v>0.043301444984234</c:v>
                </c:pt>
                <c:pt idx="3">
                  <c:v>0.0571262039470879</c:v>
                </c:pt>
                <c:pt idx="4">
                  <c:v>0.0498065200794711</c:v>
                </c:pt>
                <c:pt idx="5">
                  <c:v>0.0423075047838468</c:v>
                </c:pt>
                <c:pt idx="6">
                  <c:v>0.0449666430573522</c:v>
                </c:pt>
                <c:pt idx="7">
                  <c:v>0.0285484443648736</c:v>
                </c:pt>
                <c:pt idx="8">
                  <c:v>0.0292864720478624</c:v>
                </c:pt>
                <c:pt idx="9">
                  <c:v>0.0287995581842279</c:v>
                </c:pt>
                <c:pt idx="10">
                  <c:v>0.0216259125004164</c:v>
                </c:pt>
                <c:pt idx="11">
                  <c:v>0.0250281422517253</c:v>
                </c:pt>
                <c:pt idx="12">
                  <c:v>0.0225302117196098</c:v>
                </c:pt>
                <c:pt idx="13">
                  <c:v>0.0222736131092842</c:v>
                </c:pt>
                <c:pt idx="14">
                  <c:v>0.0250303393308252</c:v>
                </c:pt>
                <c:pt idx="15">
                  <c:v>0.0235573139455325</c:v>
                </c:pt>
                <c:pt idx="16">
                  <c:v>0.0223456212499625</c:v>
                </c:pt>
                <c:pt idx="17">
                  <c:v>0.025273057195536</c:v>
                </c:pt>
                <c:pt idx="18">
                  <c:v>0.0273210519217791</c:v>
                </c:pt>
                <c:pt idx="19">
                  <c:v>0.0273439767670729</c:v>
                </c:pt>
                <c:pt idx="20">
                  <c:v>0.0280269056958686</c:v>
                </c:pt>
                <c:pt idx="21">
                  <c:v>0.0199463257104555</c:v>
                </c:pt>
                <c:pt idx="22">
                  <c:v>0.0190989395451374</c:v>
                </c:pt>
                <c:pt idx="23">
                  <c:v>0.0196934484347491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605293"/>
        <c:axId val="3557253"/>
      </c:lineChart>
      <c:catAx>
        <c:axId val="5360529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7253"/>
        <c:crosses val="autoZero"/>
        <c:auto val="1"/>
        <c:lblAlgn val="ctr"/>
        <c:lblOffset val="100"/>
        <c:noMultiLvlLbl val="0"/>
      </c:catAx>
      <c:valAx>
        <c:axId val="3557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05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10</xdr:col>
      <xdr:colOff>291960</xdr:colOff>
      <xdr:row>26</xdr:row>
      <xdr:rowOff>172440</xdr:rowOff>
    </xdr:to>
    <xdr:graphicFrame>
      <xdr:nvGraphicFramePr>
        <xdr:cNvPr id="0" name="Chart 1"/>
        <xdr:cNvGraphicFramePr/>
      </xdr:nvGraphicFramePr>
      <xdr:xfrm>
        <a:off x="0" y="20955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160560</xdr:rowOff>
    </xdr:from>
    <xdr:to>
      <xdr:col>10</xdr:col>
      <xdr:colOff>291960</xdr:colOff>
      <xdr:row>44</xdr:row>
      <xdr:rowOff>172440</xdr:rowOff>
    </xdr:to>
    <xdr:graphicFrame>
      <xdr:nvGraphicFramePr>
        <xdr:cNvPr id="1" name="Chart 2"/>
        <xdr:cNvGraphicFramePr/>
      </xdr:nvGraphicFramePr>
      <xdr:xfrm>
        <a:off x="0" y="55245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 t="s">
        <v>4</v>
      </c>
      <c r="F5" s="4"/>
      <c r="G5" s="4" t="s">
        <v>5</v>
      </c>
      <c r="H5" s="4"/>
    </row>
    <row r="6" customFormat="false" ht="15" hidden="false" customHeight="false" outlineLevel="0" collapsed="false">
      <c r="A6" s="5" t="s">
        <v>6</v>
      </c>
      <c r="B6" s="5"/>
      <c r="C6" s="5"/>
      <c r="D6" s="5"/>
      <c r="E6" s="6" t="n">
        <f aca="false">INDEX(Raw_US_8partners!$B$2:$Y$9,MATCH("China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</f>
        <v>0.30229939365352</v>
      </c>
      <c r="F6" s="6"/>
      <c r="G6" s="7" t="n">
        <f aca="false">INDEX(Raw_EU_HS8480!$B$2:$Y$9,MATCH("China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</f>
        <v>0.883053412225654</v>
      </c>
      <c r="H6" s="7"/>
    </row>
    <row r="7" customFormat="false" ht="15" hidden="false" customHeight="false" outlineLevel="0" collapsed="false">
      <c r="A7" s="5" t="s">
        <v>7</v>
      </c>
      <c r="B7" s="5"/>
      <c r="C7" s="5"/>
      <c r="D7" s="5"/>
      <c r="E7" s="6" t="n">
        <f aca="false">INDEX(Raw_US_8partners!$B$2:$Y$9,MATCH("China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</f>
        <v>0.244354212169049</v>
      </c>
      <c r="F7" s="6"/>
      <c r="G7" s="7" t="n">
        <f aca="false">INDEX(Raw_EU_HS8480!$B$2:$Y$9,MATCH("Chin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0.936375966767804</v>
      </c>
      <c r="H7" s="7"/>
    </row>
    <row r="8" customFormat="false" ht="15" hidden="false" customHeight="false" outlineLevel="0" collapsed="false">
      <c r="A8" s="5" t="s">
        <v>8</v>
      </c>
      <c r="B8" s="5"/>
      <c r="C8" s="5"/>
      <c r="D8" s="5"/>
      <c r="E8" s="6" t="n">
        <f aca="false">(INDEX(Raw_US_8partners!$B$2:$Y$9,MATCH("China",Raw_US_8partners!$A$2:$A$9,0),24)/INDEX(Raw_US_8partners!$B$2:$Y$9,MATCH("China",Raw_US_8partners!$A$2:$A$9,0),17))^(1/7)-1</f>
        <v>-0.0728685255800184</v>
      </c>
      <c r="F8" s="6"/>
      <c r="G8" s="7" t="n">
        <f aca="false">(INDEX(Raw_EU_HS8480!$B$2:$Y$9,MATCH("China",Raw_EU_HS8480!$A$2:$A$9,0),24)/INDEX(Raw_EU_HS8480!$B$2:$Y$9,MATCH("China",Raw_EU_HS8480!$A$2:$A$9,0),17))^(1/7)-1</f>
        <v>0.0451907332953969</v>
      </c>
      <c r="H8" s="7"/>
    </row>
    <row r="9" customFormat="false" ht="15" hidden="false" customHeight="false" outlineLevel="0" collapsed="false">
      <c r="A9" s="5" t="s">
        <v>9</v>
      </c>
      <c r="B9" s="5"/>
      <c r="C9" s="5"/>
      <c r="D9" s="5"/>
      <c r="E9" s="6" t="n">
        <f aca="false">(INDEX(Raw_US_8partners!$B$2:$Y$9,MATCH("Malaysia",Raw_US_8partners!$A$2:$A$9,0),17)+INDEX(Raw_US_8partners!$B$2:$Y$9,MATCH("Thailand",Raw_US_8partners!$A$2:$A$9,0),17)+INDEX(Raw_US_8partners!$B$2:$Y$9,MATCH("Vietnam",Raw_US_8partners!$A$2:$A$9,0),17)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</f>
        <v>0.00411896493104617</v>
      </c>
      <c r="F9" s="6"/>
      <c r="G9" s="7" t="n">
        <f aca="false">(INDEX(Raw_EU_HS8480!$B$2:$Y$9,MATCH("Malaysia",Raw_EU_HS8480!$A$2:$A$9,0),17)+INDEX(Raw_EU_HS8480!$B$2:$Y$9,MATCH("Thailand",Raw_EU_HS8480!$A$2:$A$9,0),17)+INDEX(Raw_EU_HS8480!$B$2:$Y$9,MATCH("Vietnam",Raw_EU_HS8480!$A$2:$A$9,0),17)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</f>
        <v>0.0223456212499625</v>
      </c>
      <c r="H9" s="7"/>
    </row>
    <row r="10" customFormat="false" ht="15" hidden="false" customHeight="false" outlineLevel="0" collapsed="false">
      <c r="A10" s="5" t="s">
        <v>10</v>
      </c>
      <c r="B10" s="5"/>
      <c r="C10" s="5"/>
      <c r="D10" s="5"/>
      <c r="E10" s="6" t="n">
        <f aca="false">(INDEX(Raw_US_8partners!$B$2:$Y$9,MATCH("Malaysia",Raw_US_8partners!$A$2:$A$9,0),24)+INDEX(Raw_US_8partners!$B$2:$Y$9,MATCH("Thailand",Raw_US_8partners!$A$2:$A$9,0),24)+INDEX(Raw_US_8partners!$B$2:$Y$9,MATCH("Vietnam",Raw_US_8partners!$A$2:$A$9,0),24)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</f>
        <v>0.0436615554845606</v>
      </c>
      <c r="F10" s="6"/>
      <c r="G10" s="7" t="n">
        <f aca="false">(INDEX(Raw_EU_HS8480!$B$2:$Y$9,MATCH("Malaysia",Raw_EU_HS8480!$A$2:$A$9,0),24)+INDEX(Raw_EU_HS8480!$B$2:$Y$9,MATCH("Thailand",Raw_EU_HS8480!$A$2:$A$9,0),24)+INDEX(Raw_EU_HS8480!$B$2:$Y$9,MATCH("Vietnam",Raw_EU_HS8480!$A$2:$A$9,0),24)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0.0196934484347491</v>
      </c>
      <c r="H10" s="7"/>
    </row>
    <row r="11" customFormat="false" ht="15" hidden="false" customHeight="false" outlineLevel="0" collapsed="false">
      <c r="A11" s="5" t="s">
        <v>11</v>
      </c>
      <c r="B11" s="5"/>
      <c r="C11" s="5"/>
      <c r="D11" s="5"/>
      <c r="E11" s="6" t="n">
        <f aca="false">((INDEX(Raw_US_8partners!$B$2:$Y$9,MATCH("Malaysia",Raw_US_8partners!$A$2:$A$9,0),24)+INDEX(Raw_US_8partners!$B$2:$Y$9,MATCH("Thailand",Raw_US_8partners!$A$2:$A$9,0),24)+INDEX(Raw_US_8partners!$B$2:$Y$9,MATCH("Vietnam",Raw_US_8partners!$A$2:$A$9,0),24))/(INDEX(Raw_US_8partners!$B$2:$Y$9,MATCH("Malaysia",Raw_US_8partners!$A$2:$A$9,0),17)+INDEX(Raw_US_8partners!$B$2:$Y$9,MATCH("Thailand",Raw_US_8partners!$A$2:$A$9,0),17)+INDEX(Raw_US_8partners!$B$2:$Y$9,MATCH("Vietnam",Raw_US_8partners!$A$2:$A$9,0),17)))^(1/7)-1</f>
        <v>0.339111787086614</v>
      </c>
      <c r="F11" s="6"/>
      <c r="G11" s="7" t="n">
        <f aca="false">((INDEX(Raw_EU_HS8480!$B$2:$Y$9,MATCH("Malaysia",Raw_EU_HS8480!$A$2:$A$9,0),24)+INDEX(Raw_EU_HS8480!$B$2:$Y$9,MATCH("Thailand",Raw_EU_HS8480!$A$2:$A$9,0),24)+INDEX(Raw_EU_HS8480!$B$2:$Y$9,MATCH("Vietnam",Raw_EU_HS8480!$A$2:$A$9,0),24))/(INDEX(Raw_EU_HS8480!$B$2:$Y$9,MATCH("Malaysia",Raw_EU_HS8480!$A$2:$A$9,0),17)+INDEX(Raw_EU_HS8480!$B$2:$Y$9,MATCH("Thailand",Raw_EU_HS8480!$A$2:$A$9,0),17)+INDEX(Raw_EU_HS8480!$B$2:$Y$9,MATCH("Vietnam",Raw_EU_HS8480!$A$2:$A$9,0),17)))^(1/7)-1</f>
        <v>0.0179331837720378</v>
      </c>
      <c r="H11" s="7"/>
    </row>
    <row r="12" customFormat="false" ht="15" hidden="false" customHeight="false" outlineLevel="0" collapsed="false">
      <c r="A12" s="5" t="s">
        <v>12</v>
      </c>
      <c r="B12" s="5"/>
      <c r="C12" s="5"/>
      <c r="D12" s="5"/>
      <c r="E12" s="8" t="n">
        <f aca="false">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</f>
        <v>1443668447</v>
      </c>
      <c r="F12" s="8"/>
      <c r="G12" s="9" t="n">
        <f aca="false">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1695258152</v>
      </c>
      <c r="H12" s="9"/>
    </row>
    <row r="13" customFormat="false" ht="15" hidden="false" customHeight="false" outlineLevel="0" collapsed="false">
      <c r="A13" s="5" t="s">
        <v>13</v>
      </c>
      <c r="B13" s="5"/>
      <c r="C13" s="5"/>
      <c r="D13" s="5"/>
      <c r="E13" s="8" t="n">
        <f aca="false">INDEX(Raw_US_8partners!$B$2:$Y$9,MATCH("China",Raw_US_8partners!$A$2:$A$9,0),24)</f>
        <v>352766466</v>
      </c>
      <c r="F13" s="8"/>
      <c r="G13" s="9" t="n">
        <f aca="false">INDEX(Raw_EU_HS8480!$B$2:$Y$9,MATCH("China",Raw_EU_HS8480!$A$2:$A$9,0),24)</f>
        <v>1587398991</v>
      </c>
      <c r="H13" s="9"/>
    </row>
    <row r="15" customFormat="false" ht="15" hidden="false" customHeight="false" outlineLevel="0" collapsed="false">
      <c r="A15" s="3" t="s">
        <v>14</v>
      </c>
      <c r="B15" s="3"/>
      <c r="C15" s="3"/>
      <c r="D15" s="3"/>
      <c r="E15" s="3"/>
      <c r="F15" s="3"/>
      <c r="G15" s="3"/>
      <c r="H15" s="3"/>
    </row>
    <row r="16" customFormat="false" ht="30" hidden="false" customHeight="true" outlineLevel="0" collapsed="false">
      <c r="A16" s="10" t="s">
        <v>15</v>
      </c>
      <c r="B16" s="10"/>
      <c r="C16" s="10"/>
      <c r="D16" s="10"/>
      <c r="E16" s="10"/>
      <c r="F16" s="10"/>
      <c r="G16" s="10"/>
      <c r="H16" s="10"/>
    </row>
    <row r="17" customFormat="false" ht="30" hidden="false" customHeight="true" outlineLevel="0" collapsed="false">
      <c r="A17" s="10" t="s">
        <v>16</v>
      </c>
      <c r="B17" s="10"/>
      <c r="C17" s="10"/>
      <c r="D17" s="10"/>
      <c r="E17" s="10"/>
      <c r="F17" s="10"/>
      <c r="G17" s="10"/>
      <c r="H17" s="10"/>
    </row>
    <row r="18" customFormat="false" ht="30" hidden="false" customHeight="true" outlineLevel="0" collapsed="false">
      <c r="A18" s="10" t="s">
        <v>17</v>
      </c>
      <c r="B18" s="10"/>
      <c r="C18" s="10"/>
      <c r="D18" s="10"/>
      <c r="E18" s="10"/>
      <c r="F18" s="10"/>
      <c r="G18" s="10"/>
      <c r="H18" s="10"/>
    </row>
    <row r="19" customFormat="false" ht="30" hidden="false" customHeight="true" outlineLevel="0" collapsed="false">
      <c r="A19" s="10" t="s">
        <v>18</v>
      </c>
      <c r="B19" s="10"/>
      <c r="C19" s="10"/>
      <c r="D19" s="10"/>
      <c r="E19" s="10"/>
      <c r="F19" s="10"/>
      <c r="G19" s="10"/>
      <c r="H19" s="10"/>
    </row>
    <row r="20" customFormat="false" ht="30" hidden="false" customHeight="true" outlineLevel="0" collapsed="false">
      <c r="A20" s="10" t="s">
        <v>19</v>
      </c>
      <c r="B20" s="10"/>
      <c r="C20" s="10"/>
      <c r="D20" s="10"/>
      <c r="E20" s="10"/>
      <c r="F20" s="10"/>
      <c r="G20" s="10"/>
      <c r="H20" s="10"/>
    </row>
    <row r="21" customFormat="false" ht="30" hidden="false" customHeight="true" outlineLevel="0" collapsed="false">
      <c r="A21" s="10" t="s">
        <v>20</v>
      </c>
      <c r="B21" s="10"/>
      <c r="C21" s="10"/>
      <c r="D21" s="10"/>
      <c r="E21" s="10"/>
      <c r="F21" s="10"/>
      <c r="G21" s="10"/>
      <c r="H21" s="10"/>
    </row>
    <row r="22" customFormat="false" ht="30" hidden="false" customHeight="true" outlineLevel="0" collapsed="false">
      <c r="A22" s="10" t="s">
        <v>21</v>
      </c>
      <c r="B22" s="10"/>
      <c r="C22" s="10"/>
      <c r="D22" s="10"/>
      <c r="E22" s="10"/>
      <c r="F22" s="10"/>
      <c r="G22" s="10"/>
      <c r="H22" s="10"/>
    </row>
  </sheetData>
  <mergeCells count="38">
    <mergeCell ref="A1:H1"/>
    <mergeCell ref="A2:H2"/>
    <mergeCell ref="A4:H4"/>
    <mergeCell ref="A5:D5"/>
    <mergeCell ref="E5:F5"/>
    <mergeCell ref="G5:H5"/>
    <mergeCell ref="A6:D6"/>
    <mergeCell ref="E6:F6"/>
    <mergeCell ref="G6:H6"/>
    <mergeCell ref="A7:D7"/>
    <mergeCell ref="E7:F7"/>
    <mergeCell ref="G7:H7"/>
    <mergeCell ref="A8:D8"/>
    <mergeCell ref="E8:F8"/>
    <mergeCell ref="G8:H8"/>
    <mergeCell ref="A9:D9"/>
    <mergeCell ref="E9:F9"/>
    <mergeCell ref="G9:H9"/>
    <mergeCell ref="A10:D10"/>
    <mergeCell ref="E10:F10"/>
    <mergeCell ref="G10:H10"/>
    <mergeCell ref="A11:D11"/>
    <mergeCell ref="E11:F11"/>
    <mergeCell ref="G11:H11"/>
    <mergeCell ref="A12:D12"/>
    <mergeCell ref="E12:F12"/>
    <mergeCell ref="G12:H12"/>
    <mergeCell ref="A13:D13"/>
    <mergeCell ref="E13:F13"/>
    <mergeCell ref="G13:H13"/>
    <mergeCell ref="A15:H15"/>
    <mergeCell ref="A16:H16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5" min="2" style="0" width="8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4" customFormat="false" ht="15" hidden="false" customHeight="false" outlineLevel="0" collapsed="false">
      <c r="A4" s="12" t="s">
        <v>24</v>
      </c>
      <c r="B4" s="13" t="n">
        <v>2002</v>
      </c>
      <c r="C4" s="13" t="n">
        <v>2003</v>
      </c>
      <c r="D4" s="13" t="n">
        <v>2004</v>
      </c>
      <c r="E4" s="13" t="n">
        <v>2005</v>
      </c>
      <c r="F4" s="13" t="n">
        <v>2006</v>
      </c>
      <c r="G4" s="13" t="n">
        <v>2007</v>
      </c>
      <c r="H4" s="13" t="n">
        <v>2008</v>
      </c>
      <c r="I4" s="13" t="n">
        <v>2009</v>
      </c>
      <c r="J4" s="13" t="n">
        <v>2010</v>
      </c>
      <c r="K4" s="13" t="n">
        <v>2011</v>
      </c>
      <c r="L4" s="13" t="n">
        <v>2012</v>
      </c>
      <c r="M4" s="13" t="n">
        <v>2013</v>
      </c>
      <c r="N4" s="13" t="n">
        <v>2014</v>
      </c>
      <c r="O4" s="13" t="n">
        <v>2015</v>
      </c>
      <c r="P4" s="13" t="n">
        <v>2016</v>
      </c>
      <c r="Q4" s="13" t="n">
        <v>2017</v>
      </c>
      <c r="R4" s="13" t="n">
        <v>2018</v>
      </c>
      <c r="S4" s="13" t="n">
        <v>2019</v>
      </c>
      <c r="T4" s="13" t="n">
        <v>2020</v>
      </c>
      <c r="U4" s="13" t="n">
        <v>2021</v>
      </c>
      <c r="V4" s="13" t="n">
        <v>2022</v>
      </c>
      <c r="W4" s="13" t="n">
        <v>2023</v>
      </c>
      <c r="X4" s="13" t="n">
        <v>2024</v>
      </c>
      <c r="Y4" s="13" t="n">
        <v>2025</v>
      </c>
    </row>
    <row r="5" customFormat="false" ht="15" hidden="false" customHeight="false" outlineLevel="0" collapsed="false">
      <c r="A5" s="14" t="s">
        <v>25</v>
      </c>
      <c r="B5" s="15" t="n">
        <f aca="false">INDEX(Raw_US_8partners!$B$2:$Y$9,MATCH("China",Raw_US_8partners!$A$2:$A$9,0),1)/(INDEX(Raw_US_8partners!$B$2:$Y$9,MATCH("Canada",Raw_US_8partners!$A$2:$A$9,0),1)+INDEX(Raw_US_8partners!$B$2:$Y$9,MATCH("China",Raw_US_8partners!$A$2:$A$9,0),1)+INDEX(Raw_US_8partners!$B$2:$Y$9,MATCH("Japan",Raw_US_8partners!$A$2:$A$9,0),1)+INDEX(Raw_US_8partners!$B$2:$Y$9,MATCH("Malaysia",Raw_US_8partners!$A$2:$A$9,0),1)+INDEX(Raw_US_8partners!$B$2:$Y$9,MATCH("Singapore",Raw_US_8partners!$A$2:$A$9,0),1)+INDEX(Raw_US_8partners!$B$2:$Y$9,MATCH("Thailand",Raw_US_8partners!$A$2:$A$9,0),1)+INDEX(Raw_US_8partners!$B$2:$Y$9,MATCH("Taiwan",Raw_US_8partners!$A$2:$A$9,0),1)+INDEX(Raw_US_8partners!$B$2:$Y$9,MATCH("Vietnam",Raw_US_8partners!$A$2:$A$9,0),1))</f>
        <v>0.0283635515217573</v>
      </c>
      <c r="C5" s="15" t="n">
        <f aca="false">INDEX(Raw_US_8partners!$B$2:$Y$9,MATCH("China",Raw_US_8partners!$A$2:$A$9,0),2)/(INDEX(Raw_US_8partners!$B$2:$Y$9,MATCH("Canada",Raw_US_8partners!$A$2:$A$9,0),2)+INDEX(Raw_US_8partners!$B$2:$Y$9,MATCH("China",Raw_US_8partners!$A$2:$A$9,0),2)+INDEX(Raw_US_8partners!$B$2:$Y$9,MATCH("Japan",Raw_US_8partners!$A$2:$A$9,0),2)+INDEX(Raw_US_8partners!$B$2:$Y$9,MATCH("Malaysia",Raw_US_8partners!$A$2:$A$9,0),2)+INDEX(Raw_US_8partners!$B$2:$Y$9,MATCH("Singapore",Raw_US_8partners!$A$2:$A$9,0),2)+INDEX(Raw_US_8partners!$B$2:$Y$9,MATCH("Thailand",Raw_US_8partners!$A$2:$A$9,0),2)+INDEX(Raw_US_8partners!$B$2:$Y$9,MATCH("Taiwan",Raw_US_8partners!$A$2:$A$9,0),2)+INDEX(Raw_US_8partners!$B$2:$Y$9,MATCH("Vietnam",Raw_US_8partners!$A$2:$A$9,0),2))</f>
        <v>0.0378248099167016</v>
      </c>
      <c r="D5" s="15" t="n">
        <f aca="false">INDEX(Raw_US_8partners!$B$2:$Y$9,MATCH("China",Raw_US_8partners!$A$2:$A$9,0),3)/(INDEX(Raw_US_8partners!$B$2:$Y$9,MATCH("Canada",Raw_US_8partners!$A$2:$A$9,0),3)+INDEX(Raw_US_8partners!$B$2:$Y$9,MATCH("China",Raw_US_8partners!$A$2:$A$9,0),3)+INDEX(Raw_US_8partners!$B$2:$Y$9,MATCH("Japan",Raw_US_8partners!$A$2:$A$9,0),3)+INDEX(Raw_US_8partners!$B$2:$Y$9,MATCH("Malaysia",Raw_US_8partners!$A$2:$A$9,0),3)+INDEX(Raw_US_8partners!$B$2:$Y$9,MATCH("Singapore",Raw_US_8partners!$A$2:$A$9,0),3)+INDEX(Raw_US_8partners!$B$2:$Y$9,MATCH("Thailand",Raw_US_8partners!$A$2:$A$9,0),3)+INDEX(Raw_US_8partners!$B$2:$Y$9,MATCH("Taiwan",Raw_US_8partners!$A$2:$A$9,0),3)+INDEX(Raw_US_8partners!$B$2:$Y$9,MATCH("Vietnam",Raw_US_8partners!$A$2:$A$9,0),3))</f>
        <v>0.0483469439807549</v>
      </c>
      <c r="E5" s="15" t="n">
        <f aca="false">INDEX(Raw_US_8partners!$B$2:$Y$9,MATCH("China",Raw_US_8partners!$A$2:$A$9,0),4)/(INDEX(Raw_US_8partners!$B$2:$Y$9,MATCH("Canada",Raw_US_8partners!$A$2:$A$9,0),4)+INDEX(Raw_US_8partners!$B$2:$Y$9,MATCH("China",Raw_US_8partners!$A$2:$A$9,0),4)+INDEX(Raw_US_8partners!$B$2:$Y$9,MATCH("Japan",Raw_US_8partners!$A$2:$A$9,0),4)+INDEX(Raw_US_8partners!$B$2:$Y$9,MATCH("Malaysia",Raw_US_8partners!$A$2:$A$9,0),4)+INDEX(Raw_US_8partners!$B$2:$Y$9,MATCH("Singapore",Raw_US_8partners!$A$2:$A$9,0),4)+INDEX(Raw_US_8partners!$B$2:$Y$9,MATCH("Thailand",Raw_US_8partners!$A$2:$A$9,0),4)+INDEX(Raw_US_8partners!$B$2:$Y$9,MATCH("Taiwan",Raw_US_8partners!$A$2:$A$9,0),4)+INDEX(Raw_US_8partners!$B$2:$Y$9,MATCH("Vietnam",Raw_US_8partners!$A$2:$A$9,0),4))</f>
        <v>0.0665886395411101</v>
      </c>
      <c r="F5" s="15" t="n">
        <f aca="false">INDEX(Raw_US_8partners!$B$2:$Y$9,MATCH("China",Raw_US_8partners!$A$2:$A$9,0),5)/(INDEX(Raw_US_8partners!$B$2:$Y$9,MATCH("Canada",Raw_US_8partners!$A$2:$A$9,0),5)+INDEX(Raw_US_8partners!$B$2:$Y$9,MATCH("China",Raw_US_8partners!$A$2:$A$9,0),5)+INDEX(Raw_US_8partners!$B$2:$Y$9,MATCH("Japan",Raw_US_8partners!$A$2:$A$9,0),5)+INDEX(Raw_US_8partners!$B$2:$Y$9,MATCH("Malaysia",Raw_US_8partners!$A$2:$A$9,0),5)+INDEX(Raw_US_8partners!$B$2:$Y$9,MATCH("Singapore",Raw_US_8partners!$A$2:$A$9,0),5)+INDEX(Raw_US_8partners!$B$2:$Y$9,MATCH("Thailand",Raw_US_8partners!$A$2:$A$9,0),5)+INDEX(Raw_US_8partners!$B$2:$Y$9,MATCH("Taiwan",Raw_US_8partners!$A$2:$A$9,0),5)+INDEX(Raw_US_8partners!$B$2:$Y$9,MATCH("Vietnam",Raw_US_8partners!$A$2:$A$9,0),5))</f>
        <v>0.0896141813730667</v>
      </c>
      <c r="G5" s="15" t="n">
        <f aca="false">INDEX(Raw_US_8partners!$B$2:$Y$9,MATCH("China",Raw_US_8partners!$A$2:$A$9,0),6)/(INDEX(Raw_US_8partners!$B$2:$Y$9,MATCH("Canada",Raw_US_8partners!$A$2:$A$9,0),6)+INDEX(Raw_US_8partners!$B$2:$Y$9,MATCH("China",Raw_US_8partners!$A$2:$A$9,0),6)+INDEX(Raw_US_8partners!$B$2:$Y$9,MATCH("Japan",Raw_US_8partners!$A$2:$A$9,0),6)+INDEX(Raw_US_8partners!$B$2:$Y$9,MATCH("Malaysia",Raw_US_8partners!$A$2:$A$9,0),6)+INDEX(Raw_US_8partners!$B$2:$Y$9,MATCH("Singapore",Raw_US_8partners!$A$2:$A$9,0),6)+INDEX(Raw_US_8partners!$B$2:$Y$9,MATCH("Thailand",Raw_US_8partners!$A$2:$A$9,0),6)+INDEX(Raw_US_8partners!$B$2:$Y$9,MATCH("Taiwan",Raw_US_8partners!$A$2:$A$9,0),6)+INDEX(Raw_US_8partners!$B$2:$Y$9,MATCH("Vietnam",Raw_US_8partners!$A$2:$A$9,0),6))</f>
        <v>0.142118425458451</v>
      </c>
      <c r="H5" s="15" t="n">
        <f aca="false">INDEX(Raw_US_8partners!$B$2:$Y$9,MATCH("China",Raw_US_8partners!$A$2:$A$9,0),7)/(INDEX(Raw_US_8partners!$B$2:$Y$9,MATCH("Canada",Raw_US_8partners!$A$2:$A$9,0),7)+INDEX(Raw_US_8partners!$B$2:$Y$9,MATCH("China",Raw_US_8partners!$A$2:$A$9,0),7)+INDEX(Raw_US_8partners!$B$2:$Y$9,MATCH("Japan",Raw_US_8partners!$A$2:$A$9,0),7)+INDEX(Raw_US_8partners!$B$2:$Y$9,MATCH("Malaysia",Raw_US_8partners!$A$2:$A$9,0),7)+INDEX(Raw_US_8partners!$B$2:$Y$9,MATCH("Singapore",Raw_US_8partners!$A$2:$A$9,0),7)+INDEX(Raw_US_8partners!$B$2:$Y$9,MATCH("Thailand",Raw_US_8partners!$A$2:$A$9,0),7)+INDEX(Raw_US_8partners!$B$2:$Y$9,MATCH("Taiwan",Raw_US_8partners!$A$2:$A$9,0),7)+INDEX(Raw_US_8partners!$B$2:$Y$9,MATCH("Vietnam",Raw_US_8partners!$A$2:$A$9,0),7))</f>
        <v>0.160616627612329</v>
      </c>
      <c r="I5" s="15" t="n">
        <f aca="false">INDEX(Raw_US_8partners!$B$2:$Y$9,MATCH("China",Raw_US_8partners!$A$2:$A$9,0),8)/(INDEX(Raw_US_8partners!$B$2:$Y$9,MATCH("Canada",Raw_US_8partners!$A$2:$A$9,0),8)+INDEX(Raw_US_8partners!$B$2:$Y$9,MATCH("China",Raw_US_8partners!$A$2:$A$9,0),8)+INDEX(Raw_US_8partners!$B$2:$Y$9,MATCH("Japan",Raw_US_8partners!$A$2:$A$9,0),8)+INDEX(Raw_US_8partners!$B$2:$Y$9,MATCH("Malaysia",Raw_US_8partners!$A$2:$A$9,0),8)+INDEX(Raw_US_8partners!$B$2:$Y$9,MATCH("Singapore",Raw_US_8partners!$A$2:$A$9,0),8)+INDEX(Raw_US_8partners!$B$2:$Y$9,MATCH("Thailand",Raw_US_8partners!$A$2:$A$9,0),8)+INDEX(Raw_US_8partners!$B$2:$Y$9,MATCH("Taiwan",Raw_US_8partners!$A$2:$A$9,0),8)+INDEX(Raw_US_8partners!$B$2:$Y$9,MATCH("Vietnam",Raw_US_8partners!$A$2:$A$9,0),8))</f>
        <v>0.185610307655934</v>
      </c>
      <c r="J5" s="15" t="n">
        <f aca="false">INDEX(Raw_US_8partners!$B$2:$Y$9,MATCH("China",Raw_US_8partners!$A$2:$A$9,0),9)/(INDEX(Raw_US_8partners!$B$2:$Y$9,MATCH("Canada",Raw_US_8partners!$A$2:$A$9,0),9)+INDEX(Raw_US_8partners!$B$2:$Y$9,MATCH("China",Raw_US_8partners!$A$2:$A$9,0),9)+INDEX(Raw_US_8partners!$B$2:$Y$9,MATCH("Japan",Raw_US_8partners!$A$2:$A$9,0),9)+INDEX(Raw_US_8partners!$B$2:$Y$9,MATCH("Malaysia",Raw_US_8partners!$A$2:$A$9,0),9)+INDEX(Raw_US_8partners!$B$2:$Y$9,MATCH("Singapore",Raw_US_8partners!$A$2:$A$9,0),9)+INDEX(Raw_US_8partners!$B$2:$Y$9,MATCH("Thailand",Raw_US_8partners!$A$2:$A$9,0),9)+INDEX(Raw_US_8partners!$B$2:$Y$9,MATCH("Taiwan",Raw_US_8partners!$A$2:$A$9,0),9)+INDEX(Raw_US_8partners!$B$2:$Y$9,MATCH("Vietnam",Raw_US_8partners!$A$2:$A$9,0),9))</f>
        <v>0.224010120514032</v>
      </c>
      <c r="K5" s="15" t="n">
        <f aca="false">INDEX(Raw_US_8partners!$B$2:$Y$9,MATCH("China",Raw_US_8partners!$A$2:$A$9,0),10)/(INDEX(Raw_US_8partners!$B$2:$Y$9,MATCH("Canada",Raw_US_8partners!$A$2:$A$9,0),10)+INDEX(Raw_US_8partners!$B$2:$Y$9,MATCH("China",Raw_US_8partners!$A$2:$A$9,0),10)+INDEX(Raw_US_8partners!$B$2:$Y$9,MATCH("Japan",Raw_US_8partners!$A$2:$A$9,0),10)+INDEX(Raw_US_8partners!$B$2:$Y$9,MATCH("Malaysia",Raw_US_8partners!$A$2:$A$9,0),10)+INDEX(Raw_US_8partners!$B$2:$Y$9,MATCH("Singapore",Raw_US_8partners!$A$2:$A$9,0),10)+INDEX(Raw_US_8partners!$B$2:$Y$9,MATCH("Thailand",Raw_US_8partners!$A$2:$A$9,0),10)+INDEX(Raw_US_8partners!$B$2:$Y$9,MATCH("Taiwan",Raw_US_8partners!$A$2:$A$9,0),10)+INDEX(Raw_US_8partners!$B$2:$Y$9,MATCH("Vietnam",Raw_US_8partners!$A$2:$A$9,0),10))</f>
        <v>0.256479374638589</v>
      </c>
      <c r="L5" s="15" t="n">
        <f aca="false">INDEX(Raw_US_8partners!$B$2:$Y$9,MATCH("China",Raw_US_8partners!$A$2:$A$9,0),11)/(INDEX(Raw_US_8partners!$B$2:$Y$9,MATCH("Canada",Raw_US_8partners!$A$2:$A$9,0),11)+INDEX(Raw_US_8partners!$B$2:$Y$9,MATCH("China",Raw_US_8partners!$A$2:$A$9,0),11)+INDEX(Raw_US_8partners!$B$2:$Y$9,MATCH("Japan",Raw_US_8partners!$A$2:$A$9,0),11)+INDEX(Raw_US_8partners!$B$2:$Y$9,MATCH("Malaysia",Raw_US_8partners!$A$2:$A$9,0),11)+INDEX(Raw_US_8partners!$B$2:$Y$9,MATCH("Singapore",Raw_US_8partners!$A$2:$A$9,0),11)+INDEX(Raw_US_8partners!$B$2:$Y$9,MATCH("Thailand",Raw_US_8partners!$A$2:$A$9,0),11)+INDEX(Raw_US_8partners!$B$2:$Y$9,MATCH("Taiwan",Raw_US_8partners!$A$2:$A$9,0),11)+INDEX(Raw_US_8partners!$B$2:$Y$9,MATCH("Vietnam",Raw_US_8partners!$A$2:$A$9,0),11))</f>
        <v>0.272857833830302</v>
      </c>
      <c r="M5" s="15" t="n">
        <f aca="false">INDEX(Raw_US_8partners!$B$2:$Y$9,MATCH("China",Raw_US_8partners!$A$2:$A$9,0),12)/(INDEX(Raw_US_8partners!$B$2:$Y$9,MATCH("Canada",Raw_US_8partners!$A$2:$A$9,0),12)+INDEX(Raw_US_8partners!$B$2:$Y$9,MATCH("China",Raw_US_8partners!$A$2:$A$9,0),12)+INDEX(Raw_US_8partners!$B$2:$Y$9,MATCH("Japan",Raw_US_8partners!$A$2:$A$9,0),12)+INDEX(Raw_US_8partners!$B$2:$Y$9,MATCH("Malaysia",Raw_US_8partners!$A$2:$A$9,0),12)+INDEX(Raw_US_8partners!$B$2:$Y$9,MATCH("Singapore",Raw_US_8partners!$A$2:$A$9,0),12)+INDEX(Raw_US_8partners!$B$2:$Y$9,MATCH("Thailand",Raw_US_8partners!$A$2:$A$9,0),12)+INDEX(Raw_US_8partners!$B$2:$Y$9,MATCH("Taiwan",Raw_US_8partners!$A$2:$A$9,0),12)+INDEX(Raw_US_8partners!$B$2:$Y$9,MATCH("Vietnam",Raw_US_8partners!$A$2:$A$9,0),12))</f>
        <v>0.26367396669507</v>
      </c>
      <c r="N5" s="15" t="n">
        <f aca="false">INDEX(Raw_US_8partners!$B$2:$Y$9,MATCH("China",Raw_US_8partners!$A$2:$A$9,0),13)/(INDEX(Raw_US_8partners!$B$2:$Y$9,MATCH("Canada",Raw_US_8partners!$A$2:$A$9,0),13)+INDEX(Raw_US_8partners!$B$2:$Y$9,MATCH("China",Raw_US_8partners!$A$2:$A$9,0),13)+INDEX(Raw_US_8partners!$B$2:$Y$9,MATCH("Japan",Raw_US_8partners!$A$2:$A$9,0),13)+INDEX(Raw_US_8partners!$B$2:$Y$9,MATCH("Malaysia",Raw_US_8partners!$A$2:$A$9,0),13)+INDEX(Raw_US_8partners!$B$2:$Y$9,MATCH("Singapore",Raw_US_8partners!$A$2:$A$9,0),13)+INDEX(Raw_US_8partners!$B$2:$Y$9,MATCH("Thailand",Raw_US_8partners!$A$2:$A$9,0),13)+INDEX(Raw_US_8partners!$B$2:$Y$9,MATCH("Taiwan",Raw_US_8partners!$A$2:$A$9,0),13)+INDEX(Raw_US_8partners!$B$2:$Y$9,MATCH("Vietnam",Raw_US_8partners!$A$2:$A$9,0),13))</f>
        <v>0.279216378886275</v>
      </c>
      <c r="O5" s="15" t="n">
        <f aca="false">INDEX(Raw_US_8partners!$B$2:$Y$9,MATCH("China",Raw_US_8partners!$A$2:$A$9,0),14)/(INDEX(Raw_US_8partners!$B$2:$Y$9,MATCH("Canada",Raw_US_8partners!$A$2:$A$9,0),14)+INDEX(Raw_US_8partners!$B$2:$Y$9,MATCH("China",Raw_US_8partners!$A$2:$A$9,0),14)+INDEX(Raw_US_8partners!$B$2:$Y$9,MATCH("Japan",Raw_US_8partners!$A$2:$A$9,0),14)+INDEX(Raw_US_8partners!$B$2:$Y$9,MATCH("Malaysia",Raw_US_8partners!$A$2:$A$9,0),14)+INDEX(Raw_US_8partners!$B$2:$Y$9,MATCH("Singapore",Raw_US_8partners!$A$2:$A$9,0),14)+INDEX(Raw_US_8partners!$B$2:$Y$9,MATCH("Thailand",Raw_US_8partners!$A$2:$A$9,0),14)+INDEX(Raw_US_8partners!$B$2:$Y$9,MATCH("Taiwan",Raw_US_8partners!$A$2:$A$9,0),14)+INDEX(Raw_US_8partners!$B$2:$Y$9,MATCH("Vietnam",Raw_US_8partners!$A$2:$A$9,0),14))</f>
        <v>0.298258587537409</v>
      </c>
      <c r="P5" s="15" t="n">
        <f aca="false">INDEX(Raw_US_8partners!$B$2:$Y$9,MATCH("China",Raw_US_8partners!$A$2:$A$9,0),15)/(INDEX(Raw_US_8partners!$B$2:$Y$9,MATCH("Canada",Raw_US_8partners!$A$2:$A$9,0),15)+INDEX(Raw_US_8partners!$B$2:$Y$9,MATCH("China",Raw_US_8partners!$A$2:$A$9,0),15)+INDEX(Raw_US_8partners!$B$2:$Y$9,MATCH("Japan",Raw_US_8partners!$A$2:$A$9,0),15)+INDEX(Raw_US_8partners!$B$2:$Y$9,MATCH("Malaysia",Raw_US_8partners!$A$2:$A$9,0),15)+INDEX(Raw_US_8partners!$B$2:$Y$9,MATCH("Singapore",Raw_US_8partners!$A$2:$A$9,0),15)+INDEX(Raw_US_8partners!$B$2:$Y$9,MATCH("Thailand",Raw_US_8partners!$A$2:$A$9,0),15)+INDEX(Raw_US_8partners!$B$2:$Y$9,MATCH("Taiwan",Raw_US_8partners!$A$2:$A$9,0),15)+INDEX(Raw_US_8partners!$B$2:$Y$9,MATCH("Vietnam",Raw_US_8partners!$A$2:$A$9,0),15))</f>
        <v>0.276536972034433</v>
      </c>
      <c r="Q5" s="15" t="n">
        <f aca="false">INDEX(Raw_US_8partners!$B$2:$Y$9,MATCH("China",Raw_US_8partners!$A$2:$A$9,0),16)/(INDEX(Raw_US_8partners!$B$2:$Y$9,MATCH("Canada",Raw_US_8partners!$A$2:$A$9,0),16)+INDEX(Raw_US_8partners!$B$2:$Y$9,MATCH("China",Raw_US_8partners!$A$2:$A$9,0),16)+INDEX(Raw_US_8partners!$B$2:$Y$9,MATCH("Japan",Raw_US_8partners!$A$2:$A$9,0),16)+INDEX(Raw_US_8partners!$B$2:$Y$9,MATCH("Malaysia",Raw_US_8partners!$A$2:$A$9,0),16)+INDEX(Raw_US_8partners!$B$2:$Y$9,MATCH("Singapore",Raw_US_8partners!$A$2:$A$9,0),16)+INDEX(Raw_US_8partners!$B$2:$Y$9,MATCH("Thailand",Raw_US_8partners!$A$2:$A$9,0),16)+INDEX(Raw_US_8partners!$B$2:$Y$9,MATCH("Taiwan",Raw_US_8partners!$A$2:$A$9,0),16)+INDEX(Raw_US_8partners!$B$2:$Y$9,MATCH("Vietnam",Raw_US_8partners!$A$2:$A$9,0),16))</f>
        <v>0.296251893813533</v>
      </c>
      <c r="R5" s="15" t="n">
        <f aca="false">INDEX(Raw_US_8partners!$B$2:$Y$9,MATCH("China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</f>
        <v>0.30229939365352</v>
      </c>
      <c r="S5" s="15" t="n">
        <f aca="false">INDEX(Raw_US_8partners!$B$2:$Y$9,MATCH("China",Raw_US_8partners!$A$2:$A$9,0),18)/(INDEX(Raw_US_8partners!$B$2:$Y$9,MATCH("Canada",Raw_US_8partners!$A$2:$A$9,0),18)+INDEX(Raw_US_8partners!$B$2:$Y$9,MATCH("China",Raw_US_8partners!$A$2:$A$9,0),18)+INDEX(Raw_US_8partners!$B$2:$Y$9,MATCH("Japan",Raw_US_8partners!$A$2:$A$9,0),18)+INDEX(Raw_US_8partners!$B$2:$Y$9,MATCH("Malaysia",Raw_US_8partners!$A$2:$A$9,0),18)+INDEX(Raw_US_8partners!$B$2:$Y$9,MATCH("Singapore",Raw_US_8partners!$A$2:$A$9,0),18)+INDEX(Raw_US_8partners!$B$2:$Y$9,MATCH("Thailand",Raw_US_8partners!$A$2:$A$9,0),18)+INDEX(Raw_US_8partners!$B$2:$Y$9,MATCH("Taiwan",Raw_US_8partners!$A$2:$A$9,0),18)+INDEX(Raw_US_8partners!$B$2:$Y$9,MATCH("Vietnam",Raw_US_8partners!$A$2:$A$9,0),18))</f>
        <v>0.291686913048442</v>
      </c>
      <c r="T5" s="15" t="n">
        <f aca="false">INDEX(Raw_US_8partners!$B$2:$Y$9,MATCH("China",Raw_US_8partners!$A$2:$A$9,0),19)/(INDEX(Raw_US_8partners!$B$2:$Y$9,MATCH("Canada",Raw_US_8partners!$A$2:$A$9,0),19)+INDEX(Raw_US_8partners!$B$2:$Y$9,MATCH("China",Raw_US_8partners!$A$2:$A$9,0),19)+INDEX(Raw_US_8partners!$B$2:$Y$9,MATCH("Japan",Raw_US_8partners!$A$2:$A$9,0),19)+INDEX(Raw_US_8partners!$B$2:$Y$9,MATCH("Malaysia",Raw_US_8partners!$A$2:$A$9,0),19)+INDEX(Raw_US_8partners!$B$2:$Y$9,MATCH("Singapore",Raw_US_8partners!$A$2:$A$9,0),19)+INDEX(Raw_US_8partners!$B$2:$Y$9,MATCH("Thailand",Raw_US_8partners!$A$2:$A$9,0),19)+INDEX(Raw_US_8partners!$B$2:$Y$9,MATCH("Taiwan",Raw_US_8partners!$A$2:$A$9,0),19)+INDEX(Raw_US_8partners!$B$2:$Y$9,MATCH("Vietnam",Raw_US_8partners!$A$2:$A$9,0),19))</f>
        <v>0.269521128209699</v>
      </c>
      <c r="U5" s="15" t="n">
        <f aca="false">INDEX(Raw_US_8partners!$B$2:$Y$9,MATCH("China",Raw_US_8partners!$A$2:$A$9,0),20)/(INDEX(Raw_US_8partners!$B$2:$Y$9,MATCH("Canada",Raw_US_8partners!$A$2:$A$9,0),20)+INDEX(Raw_US_8partners!$B$2:$Y$9,MATCH("China",Raw_US_8partners!$A$2:$A$9,0),20)+INDEX(Raw_US_8partners!$B$2:$Y$9,MATCH("Japan",Raw_US_8partners!$A$2:$A$9,0),20)+INDEX(Raw_US_8partners!$B$2:$Y$9,MATCH("Malaysia",Raw_US_8partners!$A$2:$A$9,0),20)+INDEX(Raw_US_8partners!$B$2:$Y$9,MATCH("Singapore",Raw_US_8partners!$A$2:$A$9,0),20)+INDEX(Raw_US_8partners!$B$2:$Y$9,MATCH("Thailand",Raw_US_8partners!$A$2:$A$9,0),20)+INDEX(Raw_US_8partners!$B$2:$Y$9,MATCH("Taiwan",Raw_US_8partners!$A$2:$A$9,0),20)+INDEX(Raw_US_8partners!$B$2:$Y$9,MATCH("Vietnam",Raw_US_8partners!$A$2:$A$9,0),20))</f>
        <v>0.257534409550857</v>
      </c>
      <c r="V5" s="15" t="n">
        <f aca="false">INDEX(Raw_US_8partners!$B$2:$Y$9,MATCH("China",Raw_US_8partners!$A$2:$A$9,0),21)/(INDEX(Raw_US_8partners!$B$2:$Y$9,MATCH("Canada",Raw_US_8partners!$A$2:$A$9,0),21)+INDEX(Raw_US_8partners!$B$2:$Y$9,MATCH("China",Raw_US_8partners!$A$2:$A$9,0),21)+INDEX(Raw_US_8partners!$B$2:$Y$9,MATCH("Japan",Raw_US_8partners!$A$2:$A$9,0),21)+INDEX(Raw_US_8partners!$B$2:$Y$9,MATCH("Malaysia",Raw_US_8partners!$A$2:$A$9,0),21)+INDEX(Raw_US_8partners!$B$2:$Y$9,MATCH("Singapore",Raw_US_8partners!$A$2:$A$9,0),21)+INDEX(Raw_US_8partners!$B$2:$Y$9,MATCH("Thailand",Raw_US_8partners!$A$2:$A$9,0),21)+INDEX(Raw_US_8partners!$B$2:$Y$9,MATCH("Taiwan",Raw_US_8partners!$A$2:$A$9,0),21)+INDEX(Raw_US_8partners!$B$2:$Y$9,MATCH("Vietnam",Raw_US_8partners!$A$2:$A$9,0),21))</f>
        <v>0.24422587692936</v>
      </c>
      <c r="W5" s="15" t="n">
        <f aca="false">INDEX(Raw_US_8partners!$B$2:$Y$9,MATCH("China",Raw_US_8partners!$A$2:$A$9,0),22)/(INDEX(Raw_US_8partners!$B$2:$Y$9,MATCH("Canada",Raw_US_8partners!$A$2:$A$9,0),22)+INDEX(Raw_US_8partners!$B$2:$Y$9,MATCH("China",Raw_US_8partners!$A$2:$A$9,0),22)+INDEX(Raw_US_8partners!$B$2:$Y$9,MATCH("Japan",Raw_US_8partners!$A$2:$A$9,0),22)+INDEX(Raw_US_8partners!$B$2:$Y$9,MATCH("Malaysia",Raw_US_8partners!$A$2:$A$9,0),22)+INDEX(Raw_US_8partners!$B$2:$Y$9,MATCH("Singapore",Raw_US_8partners!$A$2:$A$9,0),22)+INDEX(Raw_US_8partners!$B$2:$Y$9,MATCH("Thailand",Raw_US_8partners!$A$2:$A$9,0),22)+INDEX(Raw_US_8partners!$B$2:$Y$9,MATCH("Taiwan",Raw_US_8partners!$A$2:$A$9,0),22)+INDEX(Raw_US_8partners!$B$2:$Y$9,MATCH("Vietnam",Raw_US_8partners!$A$2:$A$9,0),22))</f>
        <v>0.230590294800048</v>
      </c>
      <c r="X5" s="15" t="n">
        <f aca="false">INDEX(Raw_US_8partners!$B$2:$Y$9,MATCH("China",Raw_US_8partners!$A$2:$A$9,0),23)/(INDEX(Raw_US_8partners!$B$2:$Y$9,MATCH("Canada",Raw_US_8partners!$A$2:$A$9,0),23)+INDEX(Raw_US_8partners!$B$2:$Y$9,MATCH("China",Raw_US_8partners!$A$2:$A$9,0),23)+INDEX(Raw_US_8partners!$B$2:$Y$9,MATCH("Japan",Raw_US_8partners!$A$2:$A$9,0),23)+INDEX(Raw_US_8partners!$B$2:$Y$9,MATCH("Malaysia",Raw_US_8partners!$A$2:$A$9,0),23)+INDEX(Raw_US_8partners!$B$2:$Y$9,MATCH("Singapore",Raw_US_8partners!$A$2:$A$9,0),23)+INDEX(Raw_US_8partners!$B$2:$Y$9,MATCH("Thailand",Raw_US_8partners!$A$2:$A$9,0),23)+INDEX(Raw_US_8partners!$B$2:$Y$9,MATCH("Taiwan",Raw_US_8partners!$A$2:$A$9,0),23)+INDEX(Raw_US_8partners!$B$2:$Y$9,MATCH("Vietnam",Raw_US_8partners!$A$2:$A$9,0),23))</f>
        <v>0.249089224321048</v>
      </c>
      <c r="Y5" s="15" t="n">
        <f aca="false">INDEX(Raw_US_8partners!$B$2:$Y$9,MATCH("China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</f>
        <v>0.244354212169049</v>
      </c>
    </row>
    <row r="6" customFormat="false" ht="15" hidden="false" customHeight="false" outlineLevel="0" collapsed="false">
      <c r="A6" s="16" t="s">
        <v>26</v>
      </c>
      <c r="B6" s="15" t="n">
        <f aca="false">INDEX(Raw_EU_HS8480!$B$2:$Y$9,MATCH("China",Raw_EU_HS8480!$A$2:$A$9,0),1)/(INDEX(Raw_EU_HS8480!$B$2:$Y$9,MATCH("Canada",Raw_EU_HS8480!$A$2:$A$9,0),1)+INDEX(Raw_EU_HS8480!$B$2:$Y$9,MATCH("China",Raw_EU_HS8480!$A$2:$A$9,0),1)+INDEX(Raw_EU_HS8480!$B$2:$Y$9,MATCH("Japan",Raw_EU_HS8480!$A$2:$A$9,0),1)+INDEX(Raw_EU_HS8480!$B$2:$Y$9,MATCH("Malaysia",Raw_EU_HS8480!$A$2:$A$9,0),1)+INDEX(Raw_EU_HS8480!$B$2:$Y$9,MATCH("Singapore",Raw_EU_HS8480!$A$2:$A$9,0),1)+INDEX(Raw_EU_HS8480!$B$2:$Y$9,MATCH("Thailand",Raw_EU_HS8480!$A$2:$A$9,0),1)+INDEX(Raw_EU_HS8480!$B$2:$Y$9,MATCH("Taiwan",Raw_EU_HS8480!$A$2:$A$9,0),1)+INDEX(Raw_EU_HS8480!$B$2:$Y$9,MATCH("Vietnam",Raw_EU_HS8480!$A$2:$A$9,0),1))</f>
        <v>0.204341251418814</v>
      </c>
      <c r="C6" s="15" t="n">
        <f aca="false">INDEX(Raw_EU_HS8480!$B$2:$Y$9,MATCH("China",Raw_EU_HS8480!$A$2:$A$9,0),2)/(INDEX(Raw_EU_HS8480!$B$2:$Y$9,MATCH("Canada",Raw_EU_HS8480!$A$2:$A$9,0),2)+INDEX(Raw_EU_HS8480!$B$2:$Y$9,MATCH("China",Raw_EU_HS8480!$A$2:$A$9,0),2)+INDEX(Raw_EU_HS8480!$B$2:$Y$9,MATCH("Japan",Raw_EU_HS8480!$A$2:$A$9,0),2)+INDEX(Raw_EU_HS8480!$B$2:$Y$9,MATCH("Malaysia",Raw_EU_HS8480!$A$2:$A$9,0),2)+INDEX(Raw_EU_HS8480!$B$2:$Y$9,MATCH("Singapore",Raw_EU_HS8480!$A$2:$A$9,0),2)+INDEX(Raw_EU_HS8480!$B$2:$Y$9,MATCH("Thailand",Raw_EU_HS8480!$A$2:$A$9,0),2)+INDEX(Raw_EU_HS8480!$B$2:$Y$9,MATCH("Taiwan",Raw_EU_HS8480!$A$2:$A$9,0),2)+INDEX(Raw_EU_HS8480!$B$2:$Y$9,MATCH("Vietnam",Raw_EU_HS8480!$A$2:$A$9,0),2))</f>
        <v>0.239987016418707</v>
      </c>
      <c r="D6" s="15" t="n">
        <f aca="false">INDEX(Raw_EU_HS8480!$B$2:$Y$9,MATCH("China",Raw_EU_HS8480!$A$2:$A$9,0),3)/(INDEX(Raw_EU_HS8480!$B$2:$Y$9,MATCH("Canada",Raw_EU_HS8480!$A$2:$A$9,0),3)+INDEX(Raw_EU_HS8480!$B$2:$Y$9,MATCH("China",Raw_EU_HS8480!$A$2:$A$9,0),3)+INDEX(Raw_EU_HS8480!$B$2:$Y$9,MATCH("Japan",Raw_EU_HS8480!$A$2:$A$9,0),3)+INDEX(Raw_EU_HS8480!$B$2:$Y$9,MATCH("Malaysia",Raw_EU_HS8480!$A$2:$A$9,0),3)+INDEX(Raw_EU_HS8480!$B$2:$Y$9,MATCH("Singapore",Raw_EU_HS8480!$A$2:$A$9,0),3)+INDEX(Raw_EU_HS8480!$B$2:$Y$9,MATCH("Thailand",Raw_EU_HS8480!$A$2:$A$9,0),3)+INDEX(Raw_EU_HS8480!$B$2:$Y$9,MATCH("Taiwan",Raw_EU_HS8480!$A$2:$A$9,0),3)+INDEX(Raw_EU_HS8480!$B$2:$Y$9,MATCH("Vietnam",Raw_EU_HS8480!$A$2:$A$9,0),3))</f>
        <v>0.335794220243579</v>
      </c>
      <c r="E6" s="15" t="n">
        <f aca="false">INDEX(Raw_EU_HS8480!$B$2:$Y$9,MATCH("China",Raw_EU_HS8480!$A$2:$A$9,0),4)/(INDEX(Raw_EU_HS8480!$B$2:$Y$9,MATCH("Canada",Raw_EU_HS8480!$A$2:$A$9,0),4)+INDEX(Raw_EU_HS8480!$B$2:$Y$9,MATCH("China",Raw_EU_HS8480!$A$2:$A$9,0),4)+INDEX(Raw_EU_HS8480!$B$2:$Y$9,MATCH("Japan",Raw_EU_HS8480!$A$2:$A$9,0),4)+INDEX(Raw_EU_HS8480!$B$2:$Y$9,MATCH("Malaysia",Raw_EU_HS8480!$A$2:$A$9,0),4)+INDEX(Raw_EU_HS8480!$B$2:$Y$9,MATCH("Singapore",Raw_EU_HS8480!$A$2:$A$9,0),4)+INDEX(Raw_EU_HS8480!$B$2:$Y$9,MATCH("Thailand",Raw_EU_HS8480!$A$2:$A$9,0),4)+INDEX(Raw_EU_HS8480!$B$2:$Y$9,MATCH("Taiwan",Raw_EU_HS8480!$A$2:$A$9,0),4)+INDEX(Raw_EU_HS8480!$B$2:$Y$9,MATCH("Vietnam",Raw_EU_HS8480!$A$2:$A$9,0),4))</f>
        <v>0.447536422917704</v>
      </c>
      <c r="F6" s="15" t="n">
        <f aca="false">INDEX(Raw_EU_HS8480!$B$2:$Y$9,MATCH("China",Raw_EU_HS8480!$A$2:$A$9,0),5)/(INDEX(Raw_EU_HS8480!$B$2:$Y$9,MATCH("Canada",Raw_EU_HS8480!$A$2:$A$9,0),5)+INDEX(Raw_EU_HS8480!$B$2:$Y$9,MATCH("China",Raw_EU_HS8480!$A$2:$A$9,0),5)+INDEX(Raw_EU_HS8480!$B$2:$Y$9,MATCH("Japan",Raw_EU_HS8480!$A$2:$A$9,0),5)+INDEX(Raw_EU_HS8480!$B$2:$Y$9,MATCH("Malaysia",Raw_EU_HS8480!$A$2:$A$9,0),5)+INDEX(Raw_EU_HS8480!$B$2:$Y$9,MATCH("Singapore",Raw_EU_HS8480!$A$2:$A$9,0),5)+INDEX(Raw_EU_HS8480!$B$2:$Y$9,MATCH("Thailand",Raw_EU_HS8480!$A$2:$A$9,0),5)+INDEX(Raw_EU_HS8480!$B$2:$Y$9,MATCH("Taiwan",Raw_EU_HS8480!$A$2:$A$9,0),5)+INDEX(Raw_EU_HS8480!$B$2:$Y$9,MATCH("Vietnam",Raw_EU_HS8480!$A$2:$A$9,0),5))</f>
        <v>0.528962182549256</v>
      </c>
      <c r="G6" s="15" t="n">
        <f aca="false">INDEX(Raw_EU_HS8480!$B$2:$Y$9,MATCH("China",Raw_EU_HS8480!$A$2:$A$9,0),6)/(INDEX(Raw_EU_HS8480!$B$2:$Y$9,MATCH("Canada",Raw_EU_HS8480!$A$2:$A$9,0),6)+INDEX(Raw_EU_HS8480!$B$2:$Y$9,MATCH("China",Raw_EU_HS8480!$A$2:$A$9,0),6)+INDEX(Raw_EU_HS8480!$B$2:$Y$9,MATCH("Japan",Raw_EU_HS8480!$A$2:$A$9,0),6)+INDEX(Raw_EU_HS8480!$B$2:$Y$9,MATCH("Malaysia",Raw_EU_HS8480!$A$2:$A$9,0),6)+INDEX(Raw_EU_HS8480!$B$2:$Y$9,MATCH("Singapore",Raw_EU_HS8480!$A$2:$A$9,0),6)+INDEX(Raw_EU_HS8480!$B$2:$Y$9,MATCH("Thailand",Raw_EU_HS8480!$A$2:$A$9,0),6)+INDEX(Raw_EU_HS8480!$B$2:$Y$9,MATCH("Taiwan",Raw_EU_HS8480!$A$2:$A$9,0),6)+INDEX(Raw_EU_HS8480!$B$2:$Y$9,MATCH("Vietnam",Raw_EU_HS8480!$A$2:$A$9,0),6))</f>
        <v>0.598518635140485</v>
      </c>
      <c r="H6" s="15" t="n">
        <f aca="false">INDEX(Raw_EU_HS8480!$B$2:$Y$9,MATCH("China",Raw_EU_HS8480!$A$2:$A$9,0),7)/(INDEX(Raw_EU_HS8480!$B$2:$Y$9,MATCH("Canada",Raw_EU_HS8480!$A$2:$A$9,0),7)+INDEX(Raw_EU_HS8480!$B$2:$Y$9,MATCH("China",Raw_EU_HS8480!$A$2:$A$9,0),7)+INDEX(Raw_EU_HS8480!$B$2:$Y$9,MATCH("Japan",Raw_EU_HS8480!$A$2:$A$9,0),7)+INDEX(Raw_EU_HS8480!$B$2:$Y$9,MATCH("Malaysia",Raw_EU_HS8480!$A$2:$A$9,0),7)+INDEX(Raw_EU_HS8480!$B$2:$Y$9,MATCH("Singapore",Raw_EU_HS8480!$A$2:$A$9,0),7)+INDEX(Raw_EU_HS8480!$B$2:$Y$9,MATCH("Thailand",Raw_EU_HS8480!$A$2:$A$9,0),7)+INDEX(Raw_EU_HS8480!$B$2:$Y$9,MATCH("Taiwan",Raw_EU_HS8480!$A$2:$A$9,0),7)+INDEX(Raw_EU_HS8480!$B$2:$Y$9,MATCH("Vietnam",Raw_EU_HS8480!$A$2:$A$9,0),7))</f>
        <v>0.635378166804133</v>
      </c>
      <c r="I6" s="15" t="n">
        <f aca="false">INDEX(Raw_EU_HS8480!$B$2:$Y$9,MATCH("China",Raw_EU_HS8480!$A$2:$A$9,0),8)/(INDEX(Raw_EU_HS8480!$B$2:$Y$9,MATCH("Canada",Raw_EU_HS8480!$A$2:$A$9,0),8)+INDEX(Raw_EU_HS8480!$B$2:$Y$9,MATCH("China",Raw_EU_HS8480!$A$2:$A$9,0),8)+INDEX(Raw_EU_HS8480!$B$2:$Y$9,MATCH("Japan",Raw_EU_HS8480!$A$2:$A$9,0),8)+INDEX(Raw_EU_HS8480!$B$2:$Y$9,MATCH("Malaysia",Raw_EU_HS8480!$A$2:$A$9,0),8)+INDEX(Raw_EU_HS8480!$B$2:$Y$9,MATCH("Singapore",Raw_EU_HS8480!$A$2:$A$9,0),8)+INDEX(Raw_EU_HS8480!$B$2:$Y$9,MATCH("Thailand",Raw_EU_HS8480!$A$2:$A$9,0),8)+INDEX(Raw_EU_HS8480!$B$2:$Y$9,MATCH("Taiwan",Raw_EU_HS8480!$A$2:$A$9,0),8)+INDEX(Raw_EU_HS8480!$B$2:$Y$9,MATCH("Vietnam",Raw_EU_HS8480!$A$2:$A$9,0),8))</f>
        <v>0.654178627823407</v>
      </c>
      <c r="J6" s="15" t="n">
        <f aca="false">INDEX(Raw_EU_HS8480!$B$2:$Y$9,MATCH("China",Raw_EU_HS8480!$A$2:$A$9,0),9)/(INDEX(Raw_EU_HS8480!$B$2:$Y$9,MATCH("Canada",Raw_EU_HS8480!$A$2:$A$9,0),9)+INDEX(Raw_EU_HS8480!$B$2:$Y$9,MATCH("China",Raw_EU_HS8480!$A$2:$A$9,0),9)+INDEX(Raw_EU_HS8480!$B$2:$Y$9,MATCH("Japan",Raw_EU_HS8480!$A$2:$A$9,0),9)+INDEX(Raw_EU_HS8480!$B$2:$Y$9,MATCH("Malaysia",Raw_EU_HS8480!$A$2:$A$9,0),9)+INDEX(Raw_EU_HS8480!$B$2:$Y$9,MATCH("Singapore",Raw_EU_HS8480!$A$2:$A$9,0),9)+INDEX(Raw_EU_HS8480!$B$2:$Y$9,MATCH("Thailand",Raw_EU_HS8480!$A$2:$A$9,0),9)+INDEX(Raw_EU_HS8480!$B$2:$Y$9,MATCH("Taiwan",Raw_EU_HS8480!$A$2:$A$9,0),9)+INDEX(Raw_EU_HS8480!$B$2:$Y$9,MATCH("Vietnam",Raw_EU_HS8480!$A$2:$A$9,0),9))</f>
        <v>0.689197660019642</v>
      </c>
      <c r="K6" s="15" t="n">
        <f aca="false">INDEX(Raw_EU_HS8480!$B$2:$Y$9,MATCH("China",Raw_EU_HS8480!$A$2:$A$9,0),10)/(INDEX(Raw_EU_HS8480!$B$2:$Y$9,MATCH("Canada",Raw_EU_HS8480!$A$2:$A$9,0),10)+INDEX(Raw_EU_HS8480!$B$2:$Y$9,MATCH("China",Raw_EU_HS8480!$A$2:$A$9,0),10)+INDEX(Raw_EU_HS8480!$B$2:$Y$9,MATCH("Japan",Raw_EU_HS8480!$A$2:$A$9,0),10)+INDEX(Raw_EU_HS8480!$B$2:$Y$9,MATCH("Malaysia",Raw_EU_HS8480!$A$2:$A$9,0),10)+INDEX(Raw_EU_HS8480!$B$2:$Y$9,MATCH("Singapore",Raw_EU_HS8480!$A$2:$A$9,0),10)+INDEX(Raw_EU_HS8480!$B$2:$Y$9,MATCH("Thailand",Raw_EU_HS8480!$A$2:$A$9,0),10)+INDEX(Raw_EU_HS8480!$B$2:$Y$9,MATCH("Taiwan",Raw_EU_HS8480!$A$2:$A$9,0),10)+INDEX(Raw_EU_HS8480!$B$2:$Y$9,MATCH("Vietnam",Raw_EU_HS8480!$A$2:$A$9,0),10))</f>
        <v>0.755452660539588</v>
      </c>
      <c r="L6" s="15" t="n">
        <f aca="false">INDEX(Raw_EU_HS8480!$B$2:$Y$9,MATCH("China",Raw_EU_HS8480!$A$2:$A$9,0),11)/(INDEX(Raw_EU_HS8480!$B$2:$Y$9,MATCH("Canada",Raw_EU_HS8480!$A$2:$A$9,0),11)+INDEX(Raw_EU_HS8480!$B$2:$Y$9,MATCH("China",Raw_EU_HS8480!$A$2:$A$9,0),11)+INDEX(Raw_EU_HS8480!$B$2:$Y$9,MATCH("Japan",Raw_EU_HS8480!$A$2:$A$9,0),11)+INDEX(Raw_EU_HS8480!$B$2:$Y$9,MATCH("Malaysia",Raw_EU_HS8480!$A$2:$A$9,0),11)+INDEX(Raw_EU_HS8480!$B$2:$Y$9,MATCH("Singapore",Raw_EU_HS8480!$A$2:$A$9,0),11)+INDEX(Raw_EU_HS8480!$B$2:$Y$9,MATCH("Thailand",Raw_EU_HS8480!$A$2:$A$9,0),11)+INDEX(Raw_EU_HS8480!$B$2:$Y$9,MATCH("Taiwan",Raw_EU_HS8480!$A$2:$A$9,0),11)+INDEX(Raw_EU_HS8480!$B$2:$Y$9,MATCH("Vietnam",Raw_EU_HS8480!$A$2:$A$9,0),11))</f>
        <v>0.796157687266628</v>
      </c>
      <c r="M6" s="15" t="n">
        <f aca="false">INDEX(Raw_EU_HS8480!$B$2:$Y$9,MATCH("China",Raw_EU_HS8480!$A$2:$A$9,0),12)/(INDEX(Raw_EU_HS8480!$B$2:$Y$9,MATCH("Canada",Raw_EU_HS8480!$A$2:$A$9,0),12)+INDEX(Raw_EU_HS8480!$B$2:$Y$9,MATCH("China",Raw_EU_HS8480!$A$2:$A$9,0),12)+INDEX(Raw_EU_HS8480!$B$2:$Y$9,MATCH("Japan",Raw_EU_HS8480!$A$2:$A$9,0),12)+INDEX(Raw_EU_HS8480!$B$2:$Y$9,MATCH("Malaysia",Raw_EU_HS8480!$A$2:$A$9,0),12)+INDEX(Raw_EU_HS8480!$B$2:$Y$9,MATCH("Singapore",Raw_EU_HS8480!$A$2:$A$9,0),12)+INDEX(Raw_EU_HS8480!$B$2:$Y$9,MATCH("Thailand",Raw_EU_HS8480!$A$2:$A$9,0),12)+INDEX(Raw_EU_HS8480!$B$2:$Y$9,MATCH("Taiwan",Raw_EU_HS8480!$A$2:$A$9,0),12)+INDEX(Raw_EU_HS8480!$B$2:$Y$9,MATCH("Vietnam",Raw_EU_HS8480!$A$2:$A$9,0),12))</f>
        <v>0.805996124481757</v>
      </c>
      <c r="N6" s="15" t="n">
        <f aca="false">INDEX(Raw_EU_HS8480!$B$2:$Y$9,MATCH("China",Raw_EU_HS8480!$A$2:$A$9,0),13)/(INDEX(Raw_EU_HS8480!$B$2:$Y$9,MATCH("Canada",Raw_EU_HS8480!$A$2:$A$9,0),13)+INDEX(Raw_EU_HS8480!$B$2:$Y$9,MATCH("China",Raw_EU_HS8480!$A$2:$A$9,0),13)+INDEX(Raw_EU_HS8480!$B$2:$Y$9,MATCH("Japan",Raw_EU_HS8480!$A$2:$A$9,0),13)+INDEX(Raw_EU_HS8480!$B$2:$Y$9,MATCH("Malaysia",Raw_EU_HS8480!$A$2:$A$9,0),13)+INDEX(Raw_EU_HS8480!$B$2:$Y$9,MATCH("Singapore",Raw_EU_HS8480!$A$2:$A$9,0),13)+INDEX(Raw_EU_HS8480!$B$2:$Y$9,MATCH("Thailand",Raw_EU_HS8480!$A$2:$A$9,0),13)+INDEX(Raw_EU_HS8480!$B$2:$Y$9,MATCH("Taiwan",Raw_EU_HS8480!$A$2:$A$9,0),13)+INDEX(Raw_EU_HS8480!$B$2:$Y$9,MATCH("Vietnam",Raw_EU_HS8480!$A$2:$A$9,0),13))</f>
        <v>0.827295219386836</v>
      </c>
      <c r="O6" s="15" t="n">
        <f aca="false">INDEX(Raw_EU_HS8480!$B$2:$Y$9,MATCH("China",Raw_EU_HS8480!$A$2:$A$9,0),14)/(INDEX(Raw_EU_HS8480!$B$2:$Y$9,MATCH("Canada",Raw_EU_HS8480!$A$2:$A$9,0),14)+INDEX(Raw_EU_HS8480!$B$2:$Y$9,MATCH("China",Raw_EU_HS8480!$A$2:$A$9,0),14)+INDEX(Raw_EU_HS8480!$B$2:$Y$9,MATCH("Japan",Raw_EU_HS8480!$A$2:$A$9,0),14)+INDEX(Raw_EU_HS8480!$B$2:$Y$9,MATCH("Malaysia",Raw_EU_HS8480!$A$2:$A$9,0),14)+INDEX(Raw_EU_HS8480!$B$2:$Y$9,MATCH("Singapore",Raw_EU_HS8480!$A$2:$A$9,0),14)+INDEX(Raw_EU_HS8480!$B$2:$Y$9,MATCH("Thailand",Raw_EU_HS8480!$A$2:$A$9,0),14)+INDEX(Raw_EU_HS8480!$B$2:$Y$9,MATCH("Taiwan",Raw_EU_HS8480!$A$2:$A$9,0),14)+INDEX(Raw_EU_HS8480!$B$2:$Y$9,MATCH("Vietnam",Raw_EU_HS8480!$A$2:$A$9,0),14))</f>
        <v>0.851661945492112</v>
      </c>
      <c r="P6" s="15" t="n">
        <f aca="false">INDEX(Raw_EU_HS8480!$B$2:$Y$9,MATCH("China",Raw_EU_HS8480!$A$2:$A$9,0),15)/(INDEX(Raw_EU_HS8480!$B$2:$Y$9,MATCH("Canada",Raw_EU_HS8480!$A$2:$A$9,0),15)+INDEX(Raw_EU_HS8480!$B$2:$Y$9,MATCH("China",Raw_EU_HS8480!$A$2:$A$9,0),15)+INDEX(Raw_EU_HS8480!$B$2:$Y$9,MATCH("Japan",Raw_EU_HS8480!$A$2:$A$9,0),15)+INDEX(Raw_EU_HS8480!$B$2:$Y$9,MATCH("Malaysia",Raw_EU_HS8480!$A$2:$A$9,0),15)+INDEX(Raw_EU_HS8480!$B$2:$Y$9,MATCH("Singapore",Raw_EU_HS8480!$A$2:$A$9,0),15)+INDEX(Raw_EU_HS8480!$B$2:$Y$9,MATCH("Thailand",Raw_EU_HS8480!$A$2:$A$9,0),15)+INDEX(Raw_EU_HS8480!$B$2:$Y$9,MATCH("Taiwan",Raw_EU_HS8480!$A$2:$A$9,0),15)+INDEX(Raw_EU_HS8480!$B$2:$Y$9,MATCH("Vietnam",Raw_EU_HS8480!$A$2:$A$9,0),15))</f>
        <v>0.85132382161439</v>
      </c>
      <c r="Q6" s="15" t="n">
        <f aca="false">INDEX(Raw_EU_HS8480!$B$2:$Y$9,MATCH("China",Raw_EU_HS8480!$A$2:$A$9,0),16)/(INDEX(Raw_EU_HS8480!$B$2:$Y$9,MATCH("Canada",Raw_EU_HS8480!$A$2:$A$9,0),16)+INDEX(Raw_EU_HS8480!$B$2:$Y$9,MATCH("China",Raw_EU_HS8480!$A$2:$A$9,0),16)+INDEX(Raw_EU_HS8480!$B$2:$Y$9,MATCH("Japan",Raw_EU_HS8480!$A$2:$A$9,0),16)+INDEX(Raw_EU_HS8480!$B$2:$Y$9,MATCH("Malaysia",Raw_EU_HS8480!$A$2:$A$9,0),16)+INDEX(Raw_EU_HS8480!$B$2:$Y$9,MATCH("Singapore",Raw_EU_HS8480!$A$2:$A$9,0),16)+INDEX(Raw_EU_HS8480!$B$2:$Y$9,MATCH("Thailand",Raw_EU_HS8480!$A$2:$A$9,0),16)+INDEX(Raw_EU_HS8480!$B$2:$Y$9,MATCH("Taiwan",Raw_EU_HS8480!$A$2:$A$9,0),16)+INDEX(Raw_EU_HS8480!$B$2:$Y$9,MATCH("Vietnam",Raw_EU_HS8480!$A$2:$A$9,0),16))</f>
        <v>0.868732909283035</v>
      </c>
      <c r="R6" s="15" t="n">
        <f aca="false">INDEX(Raw_EU_HS8480!$B$2:$Y$9,MATCH("China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</f>
        <v>0.883053412225654</v>
      </c>
      <c r="S6" s="15" t="n">
        <f aca="false">INDEX(Raw_EU_HS8480!$B$2:$Y$9,MATCH("China",Raw_EU_HS8480!$A$2:$A$9,0),18)/(INDEX(Raw_EU_HS8480!$B$2:$Y$9,MATCH("Canada",Raw_EU_HS8480!$A$2:$A$9,0),18)+INDEX(Raw_EU_HS8480!$B$2:$Y$9,MATCH("China",Raw_EU_HS8480!$A$2:$A$9,0),18)+INDEX(Raw_EU_HS8480!$B$2:$Y$9,MATCH("Japan",Raw_EU_HS8480!$A$2:$A$9,0),18)+INDEX(Raw_EU_HS8480!$B$2:$Y$9,MATCH("Malaysia",Raw_EU_HS8480!$A$2:$A$9,0),18)+INDEX(Raw_EU_HS8480!$B$2:$Y$9,MATCH("Singapore",Raw_EU_HS8480!$A$2:$A$9,0),18)+INDEX(Raw_EU_HS8480!$B$2:$Y$9,MATCH("Thailand",Raw_EU_HS8480!$A$2:$A$9,0),18)+INDEX(Raw_EU_HS8480!$B$2:$Y$9,MATCH("Taiwan",Raw_EU_HS8480!$A$2:$A$9,0),18)+INDEX(Raw_EU_HS8480!$B$2:$Y$9,MATCH("Vietnam",Raw_EU_HS8480!$A$2:$A$9,0),18))</f>
        <v>0.887914588127757</v>
      </c>
      <c r="T6" s="15" t="n">
        <f aca="false">INDEX(Raw_EU_HS8480!$B$2:$Y$9,MATCH("China",Raw_EU_HS8480!$A$2:$A$9,0),19)/(INDEX(Raw_EU_HS8480!$B$2:$Y$9,MATCH("Canada",Raw_EU_HS8480!$A$2:$A$9,0),19)+INDEX(Raw_EU_HS8480!$B$2:$Y$9,MATCH("China",Raw_EU_HS8480!$A$2:$A$9,0),19)+INDEX(Raw_EU_HS8480!$B$2:$Y$9,MATCH("Japan",Raw_EU_HS8480!$A$2:$A$9,0),19)+INDEX(Raw_EU_HS8480!$B$2:$Y$9,MATCH("Malaysia",Raw_EU_HS8480!$A$2:$A$9,0),19)+INDEX(Raw_EU_HS8480!$B$2:$Y$9,MATCH("Singapore",Raw_EU_HS8480!$A$2:$A$9,0),19)+INDEX(Raw_EU_HS8480!$B$2:$Y$9,MATCH("Thailand",Raw_EU_HS8480!$A$2:$A$9,0),19)+INDEX(Raw_EU_HS8480!$B$2:$Y$9,MATCH("Taiwan",Raw_EU_HS8480!$A$2:$A$9,0),19)+INDEX(Raw_EU_HS8480!$B$2:$Y$9,MATCH("Vietnam",Raw_EU_HS8480!$A$2:$A$9,0),19))</f>
        <v>0.898138921185833</v>
      </c>
      <c r="U6" s="15" t="n">
        <f aca="false">INDEX(Raw_EU_HS8480!$B$2:$Y$9,MATCH("China",Raw_EU_HS8480!$A$2:$A$9,0),20)/(INDEX(Raw_EU_HS8480!$B$2:$Y$9,MATCH("Canada",Raw_EU_HS8480!$A$2:$A$9,0),20)+INDEX(Raw_EU_HS8480!$B$2:$Y$9,MATCH("China",Raw_EU_HS8480!$A$2:$A$9,0),20)+INDEX(Raw_EU_HS8480!$B$2:$Y$9,MATCH("Japan",Raw_EU_HS8480!$A$2:$A$9,0),20)+INDEX(Raw_EU_HS8480!$B$2:$Y$9,MATCH("Malaysia",Raw_EU_HS8480!$A$2:$A$9,0),20)+INDEX(Raw_EU_HS8480!$B$2:$Y$9,MATCH("Singapore",Raw_EU_HS8480!$A$2:$A$9,0),20)+INDEX(Raw_EU_HS8480!$B$2:$Y$9,MATCH("Thailand",Raw_EU_HS8480!$A$2:$A$9,0),20)+INDEX(Raw_EU_HS8480!$B$2:$Y$9,MATCH("Taiwan",Raw_EU_HS8480!$A$2:$A$9,0),20)+INDEX(Raw_EU_HS8480!$B$2:$Y$9,MATCH("Vietnam",Raw_EU_HS8480!$A$2:$A$9,0),20))</f>
        <v>0.893242761170739</v>
      </c>
      <c r="V6" s="15" t="n">
        <f aca="false">INDEX(Raw_EU_HS8480!$B$2:$Y$9,MATCH("China",Raw_EU_HS8480!$A$2:$A$9,0),21)/(INDEX(Raw_EU_HS8480!$B$2:$Y$9,MATCH("Canada",Raw_EU_HS8480!$A$2:$A$9,0),21)+INDEX(Raw_EU_HS8480!$B$2:$Y$9,MATCH("China",Raw_EU_HS8480!$A$2:$A$9,0),21)+INDEX(Raw_EU_HS8480!$B$2:$Y$9,MATCH("Japan",Raw_EU_HS8480!$A$2:$A$9,0),21)+INDEX(Raw_EU_HS8480!$B$2:$Y$9,MATCH("Malaysia",Raw_EU_HS8480!$A$2:$A$9,0),21)+INDEX(Raw_EU_HS8480!$B$2:$Y$9,MATCH("Singapore",Raw_EU_HS8480!$A$2:$A$9,0),21)+INDEX(Raw_EU_HS8480!$B$2:$Y$9,MATCH("Thailand",Raw_EU_HS8480!$A$2:$A$9,0),21)+INDEX(Raw_EU_HS8480!$B$2:$Y$9,MATCH("Taiwan",Raw_EU_HS8480!$A$2:$A$9,0),21)+INDEX(Raw_EU_HS8480!$B$2:$Y$9,MATCH("Vietnam",Raw_EU_HS8480!$A$2:$A$9,0),21))</f>
        <v>0.905623561760745</v>
      </c>
      <c r="W6" s="15" t="n">
        <f aca="false">INDEX(Raw_EU_HS8480!$B$2:$Y$9,MATCH("China",Raw_EU_HS8480!$A$2:$A$9,0),22)/(INDEX(Raw_EU_HS8480!$B$2:$Y$9,MATCH("Canada",Raw_EU_HS8480!$A$2:$A$9,0),22)+INDEX(Raw_EU_HS8480!$B$2:$Y$9,MATCH("China",Raw_EU_HS8480!$A$2:$A$9,0),22)+INDEX(Raw_EU_HS8480!$B$2:$Y$9,MATCH("Japan",Raw_EU_HS8480!$A$2:$A$9,0),22)+INDEX(Raw_EU_HS8480!$B$2:$Y$9,MATCH("Malaysia",Raw_EU_HS8480!$A$2:$A$9,0),22)+INDEX(Raw_EU_HS8480!$B$2:$Y$9,MATCH("Singapore",Raw_EU_HS8480!$A$2:$A$9,0),22)+INDEX(Raw_EU_HS8480!$B$2:$Y$9,MATCH("Thailand",Raw_EU_HS8480!$A$2:$A$9,0),22)+INDEX(Raw_EU_HS8480!$B$2:$Y$9,MATCH("Taiwan",Raw_EU_HS8480!$A$2:$A$9,0),22)+INDEX(Raw_EU_HS8480!$B$2:$Y$9,MATCH("Vietnam",Raw_EU_HS8480!$A$2:$A$9,0),22))</f>
        <v>0.922212970963328</v>
      </c>
      <c r="X6" s="15" t="n">
        <f aca="false">INDEX(Raw_EU_HS8480!$B$2:$Y$9,MATCH("China",Raw_EU_HS8480!$A$2:$A$9,0),23)/(INDEX(Raw_EU_HS8480!$B$2:$Y$9,MATCH("Canada",Raw_EU_HS8480!$A$2:$A$9,0),23)+INDEX(Raw_EU_HS8480!$B$2:$Y$9,MATCH("China",Raw_EU_HS8480!$A$2:$A$9,0),23)+INDEX(Raw_EU_HS8480!$B$2:$Y$9,MATCH("Japan",Raw_EU_HS8480!$A$2:$A$9,0),23)+INDEX(Raw_EU_HS8480!$B$2:$Y$9,MATCH("Malaysia",Raw_EU_HS8480!$A$2:$A$9,0),23)+INDEX(Raw_EU_HS8480!$B$2:$Y$9,MATCH("Singapore",Raw_EU_HS8480!$A$2:$A$9,0),23)+INDEX(Raw_EU_HS8480!$B$2:$Y$9,MATCH("Thailand",Raw_EU_HS8480!$A$2:$A$9,0),23)+INDEX(Raw_EU_HS8480!$B$2:$Y$9,MATCH("Taiwan",Raw_EU_HS8480!$A$2:$A$9,0),23)+INDEX(Raw_EU_HS8480!$B$2:$Y$9,MATCH("Vietnam",Raw_EU_HS8480!$A$2:$A$9,0),23))</f>
        <v>0.924385236249701</v>
      </c>
      <c r="Y6" s="15" t="n">
        <f aca="false">INDEX(Raw_EU_HS8480!$B$2:$Y$9,MATCH("Chin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0.936375966767804</v>
      </c>
    </row>
    <row r="7" customFormat="false" ht="15" hidden="false" customHeight="false" outlineLevel="0" collapsed="false">
      <c r="A7" s="14" t="s">
        <v>27</v>
      </c>
      <c r="B7" s="15" t="n">
        <f aca="false">(INDEX(Raw_US_8partners!$B$2:$Y$9,MATCH("Malaysia",Raw_US_8partners!$A$2:$A$9,0),1)+INDEX(Raw_US_8partners!$B$2:$Y$9,MATCH("Thailand",Raw_US_8partners!$A$2:$A$9,0),1)+INDEX(Raw_US_8partners!$B$2:$Y$9,MATCH("Vietnam",Raw_US_8partners!$A$2:$A$9,0),1))/(INDEX(Raw_US_8partners!$B$2:$Y$9,MATCH("Canada",Raw_US_8partners!$A$2:$A$9,0),1)+INDEX(Raw_US_8partners!$B$2:$Y$9,MATCH("China",Raw_US_8partners!$A$2:$A$9,0),1)+INDEX(Raw_US_8partners!$B$2:$Y$9,MATCH("Japan",Raw_US_8partners!$A$2:$A$9,0),1)+INDEX(Raw_US_8partners!$B$2:$Y$9,MATCH("Malaysia",Raw_US_8partners!$A$2:$A$9,0),1)+INDEX(Raw_US_8partners!$B$2:$Y$9,MATCH("Singapore",Raw_US_8partners!$A$2:$A$9,0),1)+INDEX(Raw_US_8partners!$B$2:$Y$9,MATCH("Thailand",Raw_US_8partners!$A$2:$A$9,0),1)+INDEX(Raw_US_8partners!$B$2:$Y$9,MATCH("Taiwan",Raw_US_8partners!$A$2:$A$9,0),1)+INDEX(Raw_US_8partners!$B$2:$Y$9,MATCH("Vietnam",Raw_US_8partners!$A$2:$A$9,0),1))</f>
        <v>0.00302869639959677</v>
      </c>
      <c r="C7" s="15" t="n">
        <f aca="false">(INDEX(Raw_US_8partners!$B$2:$Y$9,MATCH("Malaysia",Raw_US_8partners!$A$2:$A$9,0),2)+INDEX(Raw_US_8partners!$B$2:$Y$9,MATCH("Thailand",Raw_US_8partners!$A$2:$A$9,0),2)+INDEX(Raw_US_8partners!$B$2:$Y$9,MATCH("Vietnam",Raw_US_8partners!$A$2:$A$9,0),2))/(INDEX(Raw_US_8partners!$B$2:$Y$9,MATCH("Canada",Raw_US_8partners!$A$2:$A$9,0),2)+INDEX(Raw_US_8partners!$B$2:$Y$9,MATCH("China",Raw_US_8partners!$A$2:$A$9,0),2)+INDEX(Raw_US_8partners!$B$2:$Y$9,MATCH("Japan",Raw_US_8partners!$A$2:$A$9,0),2)+INDEX(Raw_US_8partners!$B$2:$Y$9,MATCH("Malaysia",Raw_US_8partners!$A$2:$A$9,0),2)+INDEX(Raw_US_8partners!$B$2:$Y$9,MATCH("Singapore",Raw_US_8partners!$A$2:$A$9,0),2)+INDEX(Raw_US_8partners!$B$2:$Y$9,MATCH("Thailand",Raw_US_8partners!$A$2:$A$9,0),2)+INDEX(Raw_US_8partners!$B$2:$Y$9,MATCH("Taiwan",Raw_US_8partners!$A$2:$A$9,0),2)+INDEX(Raw_US_8partners!$B$2:$Y$9,MATCH("Vietnam",Raw_US_8partners!$A$2:$A$9,0),2))</f>
        <v>0.00356422538217931</v>
      </c>
      <c r="D7" s="15" t="n">
        <f aca="false">(INDEX(Raw_US_8partners!$B$2:$Y$9,MATCH("Malaysia",Raw_US_8partners!$A$2:$A$9,0),3)+INDEX(Raw_US_8partners!$B$2:$Y$9,MATCH("Thailand",Raw_US_8partners!$A$2:$A$9,0),3)+INDEX(Raw_US_8partners!$B$2:$Y$9,MATCH("Vietnam",Raw_US_8partners!$A$2:$A$9,0),3))/(INDEX(Raw_US_8partners!$B$2:$Y$9,MATCH("Canada",Raw_US_8partners!$A$2:$A$9,0),3)+INDEX(Raw_US_8partners!$B$2:$Y$9,MATCH("China",Raw_US_8partners!$A$2:$A$9,0),3)+INDEX(Raw_US_8partners!$B$2:$Y$9,MATCH("Japan",Raw_US_8partners!$A$2:$A$9,0),3)+INDEX(Raw_US_8partners!$B$2:$Y$9,MATCH("Malaysia",Raw_US_8partners!$A$2:$A$9,0),3)+INDEX(Raw_US_8partners!$B$2:$Y$9,MATCH("Singapore",Raw_US_8partners!$A$2:$A$9,0),3)+INDEX(Raw_US_8partners!$B$2:$Y$9,MATCH("Thailand",Raw_US_8partners!$A$2:$A$9,0),3)+INDEX(Raw_US_8partners!$B$2:$Y$9,MATCH("Taiwan",Raw_US_8partners!$A$2:$A$9,0),3)+INDEX(Raw_US_8partners!$B$2:$Y$9,MATCH("Vietnam",Raw_US_8partners!$A$2:$A$9,0),3))</f>
        <v>0.00474703076349477</v>
      </c>
      <c r="E7" s="15" t="n">
        <f aca="false">(INDEX(Raw_US_8partners!$B$2:$Y$9,MATCH("Malaysia",Raw_US_8partners!$A$2:$A$9,0),4)+INDEX(Raw_US_8partners!$B$2:$Y$9,MATCH("Thailand",Raw_US_8partners!$A$2:$A$9,0),4)+INDEX(Raw_US_8partners!$B$2:$Y$9,MATCH("Vietnam",Raw_US_8partners!$A$2:$A$9,0),4))/(INDEX(Raw_US_8partners!$B$2:$Y$9,MATCH("Canada",Raw_US_8partners!$A$2:$A$9,0),4)+INDEX(Raw_US_8partners!$B$2:$Y$9,MATCH("China",Raw_US_8partners!$A$2:$A$9,0),4)+INDEX(Raw_US_8partners!$B$2:$Y$9,MATCH("Japan",Raw_US_8partners!$A$2:$A$9,0),4)+INDEX(Raw_US_8partners!$B$2:$Y$9,MATCH("Malaysia",Raw_US_8partners!$A$2:$A$9,0),4)+INDEX(Raw_US_8partners!$B$2:$Y$9,MATCH("Singapore",Raw_US_8partners!$A$2:$A$9,0),4)+INDEX(Raw_US_8partners!$B$2:$Y$9,MATCH("Thailand",Raw_US_8partners!$A$2:$A$9,0),4)+INDEX(Raw_US_8partners!$B$2:$Y$9,MATCH("Taiwan",Raw_US_8partners!$A$2:$A$9,0),4)+INDEX(Raw_US_8partners!$B$2:$Y$9,MATCH("Vietnam",Raw_US_8partners!$A$2:$A$9,0),4))</f>
        <v>0.00282574250017028</v>
      </c>
      <c r="F7" s="15" t="n">
        <f aca="false">(INDEX(Raw_US_8partners!$B$2:$Y$9,MATCH("Malaysia",Raw_US_8partners!$A$2:$A$9,0),5)+INDEX(Raw_US_8partners!$B$2:$Y$9,MATCH("Thailand",Raw_US_8partners!$A$2:$A$9,0),5)+INDEX(Raw_US_8partners!$B$2:$Y$9,MATCH("Vietnam",Raw_US_8partners!$A$2:$A$9,0),5))/(INDEX(Raw_US_8partners!$B$2:$Y$9,MATCH("Canada",Raw_US_8partners!$A$2:$A$9,0),5)+INDEX(Raw_US_8partners!$B$2:$Y$9,MATCH("China",Raw_US_8partners!$A$2:$A$9,0),5)+INDEX(Raw_US_8partners!$B$2:$Y$9,MATCH("Japan",Raw_US_8partners!$A$2:$A$9,0),5)+INDEX(Raw_US_8partners!$B$2:$Y$9,MATCH("Malaysia",Raw_US_8partners!$A$2:$A$9,0),5)+INDEX(Raw_US_8partners!$B$2:$Y$9,MATCH("Singapore",Raw_US_8partners!$A$2:$A$9,0),5)+INDEX(Raw_US_8partners!$B$2:$Y$9,MATCH("Thailand",Raw_US_8partners!$A$2:$A$9,0),5)+INDEX(Raw_US_8partners!$B$2:$Y$9,MATCH("Taiwan",Raw_US_8partners!$A$2:$A$9,0),5)+INDEX(Raw_US_8partners!$B$2:$Y$9,MATCH("Vietnam",Raw_US_8partners!$A$2:$A$9,0),5))</f>
        <v>0.00503720247031782</v>
      </c>
      <c r="G7" s="15" t="n">
        <f aca="false">(INDEX(Raw_US_8partners!$B$2:$Y$9,MATCH("Malaysia",Raw_US_8partners!$A$2:$A$9,0),6)+INDEX(Raw_US_8partners!$B$2:$Y$9,MATCH("Thailand",Raw_US_8partners!$A$2:$A$9,0),6)+INDEX(Raw_US_8partners!$B$2:$Y$9,MATCH("Vietnam",Raw_US_8partners!$A$2:$A$9,0),6))/(INDEX(Raw_US_8partners!$B$2:$Y$9,MATCH("Canada",Raw_US_8partners!$A$2:$A$9,0),6)+INDEX(Raw_US_8partners!$B$2:$Y$9,MATCH("China",Raw_US_8partners!$A$2:$A$9,0),6)+INDEX(Raw_US_8partners!$B$2:$Y$9,MATCH("Japan",Raw_US_8partners!$A$2:$A$9,0),6)+INDEX(Raw_US_8partners!$B$2:$Y$9,MATCH("Malaysia",Raw_US_8partners!$A$2:$A$9,0),6)+INDEX(Raw_US_8partners!$B$2:$Y$9,MATCH("Singapore",Raw_US_8partners!$A$2:$A$9,0),6)+INDEX(Raw_US_8partners!$B$2:$Y$9,MATCH("Thailand",Raw_US_8partners!$A$2:$A$9,0),6)+INDEX(Raw_US_8partners!$B$2:$Y$9,MATCH("Taiwan",Raw_US_8partners!$A$2:$A$9,0),6)+INDEX(Raw_US_8partners!$B$2:$Y$9,MATCH("Vietnam",Raw_US_8partners!$A$2:$A$9,0),6))</f>
        <v>0.00729783977032268</v>
      </c>
      <c r="H7" s="15" t="n">
        <f aca="false">(INDEX(Raw_US_8partners!$B$2:$Y$9,MATCH("Malaysia",Raw_US_8partners!$A$2:$A$9,0),7)+INDEX(Raw_US_8partners!$B$2:$Y$9,MATCH("Thailand",Raw_US_8partners!$A$2:$A$9,0),7)+INDEX(Raw_US_8partners!$B$2:$Y$9,MATCH("Vietnam",Raw_US_8partners!$A$2:$A$9,0),7))/(INDEX(Raw_US_8partners!$B$2:$Y$9,MATCH("Canada",Raw_US_8partners!$A$2:$A$9,0),7)+INDEX(Raw_US_8partners!$B$2:$Y$9,MATCH("China",Raw_US_8partners!$A$2:$A$9,0),7)+INDEX(Raw_US_8partners!$B$2:$Y$9,MATCH("Japan",Raw_US_8partners!$A$2:$A$9,0),7)+INDEX(Raw_US_8partners!$B$2:$Y$9,MATCH("Malaysia",Raw_US_8partners!$A$2:$A$9,0),7)+INDEX(Raw_US_8partners!$B$2:$Y$9,MATCH("Singapore",Raw_US_8partners!$A$2:$A$9,0),7)+INDEX(Raw_US_8partners!$B$2:$Y$9,MATCH("Thailand",Raw_US_8partners!$A$2:$A$9,0),7)+INDEX(Raw_US_8partners!$B$2:$Y$9,MATCH("Taiwan",Raw_US_8partners!$A$2:$A$9,0),7)+INDEX(Raw_US_8partners!$B$2:$Y$9,MATCH("Vietnam",Raw_US_8partners!$A$2:$A$9,0),7))</f>
        <v>0.00948395759879231</v>
      </c>
      <c r="I7" s="15" t="n">
        <f aca="false">(INDEX(Raw_US_8partners!$B$2:$Y$9,MATCH("Malaysia",Raw_US_8partners!$A$2:$A$9,0),8)+INDEX(Raw_US_8partners!$B$2:$Y$9,MATCH("Thailand",Raw_US_8partners!$A$2:$A$9,0),8)+INDEX(Raw_US_8partners!$B$2:$Y$9,MATCH("Vietnam",Raw_US_8partners!$A$2:$A$9,0),8))/(INDEX(Raw_US_8partners!$B$2:$Y$9,MATCH("Canada",Raw_US_8partners!$A$2:$A$9,0),8)+INDEX(Raw_US_8partners!$B$2:$Y$9,MATCH("China",Raw_US_8partners!$A$2:$A$9,0),8)+INDEX(Raw_US_8partners!$B$2:$Y$9,MATCH("Japan",Raw_US_8partners!$A$2:$A$9,0),8)+INDEX(Raw_US_8partners!$B$2:$Y$9,MATCH("Malaysia",Raw_US_8partners!$A$2:$A$9,0),8)+INDEX(Raw_US_8partners!$B$2:$Y$9,MATCH("Singapore",Raw_US_8partners!$A$2:$A$9,0),8)+INDEX(Raw_US_8partners!$B$2:$Y$9,MATCH("Thailand",Raw_US_8partners!$A$2:$A$9,0),8)+INDEX(Raw_US_8partners!$B$2:$Y$9,MATCH("Taiwan",Raw_US_8partners!$A$2:$A$9,0),8)+INDEX(Raw_US_8partners!$B$2:$Y$9,MATCH("Vietnam",Raw_US_8partners!$A$2:$A$9,0),8))</f>
        <v>0.00712235906249403</v>
      </c>
      <c r="J7" s="15" t="n">
        <f aca="false">(INDEX(Raw_US_8partners!$B$2:$Y$9,MATCH("Malaysia",Raw_US_8partners!$A$2:$A$9,0),9)+INDEX(Raw_US_8partners!$B$2:$Y$9,MATCH("Thailand",Raw_US_8partners!$A$2:$A$9,0),9)+INDEX(Raw_US_8partners!$B$2:$Y$9,MATCH("Vietnam",Raw_US_8partners!$A$2:$A$9,0),9))/(INDEX(Raw_US_8partners!$B$2:$Y$9,MATCH("Canada",Raw_US_8partners!$A$2:$A$9,0),9)+INDEX(Raw_US_8partners!$B$2:$Y$9,MATCH("China",Raw_US_8partners!$A$2:$A$9,0),9)+INDEX(Raw_US_8partners!$B$2:$Y$9,MATCH("Japan",Raw_US_8partners!$A$2:$A$9,0),9)+INDEX(Raw_US_8partners!$B$2:$Y$9,MATCH("Malaysia",Raw_US_8partners!$A$2:$A$9,0),9)+INDEX(Raw_US_8partners!$B$2:$Y$9,MATCH("Singapore",Raw_US_8partners!$A$2:$A$9,0),9)+INDEX(Raw_US_8partners!$B$2:$Y$9,MATCH("Thailand",Raw_US_8partners!$A$2:$A$9,0),9)+INDEX(Raw_US_8partners!$B$2:$Y$9,MATCH("Taiwan",Raw_US_8partners!$A$2:$A$9,0),9)+INDEX(Raw_US_8partners!$B$2:$Y$9,MATCH("Vietnam",Raw_US_8partners!$A$2:$A$9,0),9))</f>
        <v>0.00767896112405394</v>
      </c>
      <c r="K7" s="15" t="n">
        <f aca="false">(INDEX(Raw_US_8partners!$B$2:$Y$9,MATCH("Malaysia",Raw_US_8partners!$A$2:$A$9,0),10)+INDEX(Raw_US_8partners!$B$2:$Y$9,MATCH("Thailand",Raw_US_8partners!$A$2:$A$9,0),10)+INDEX(Raw_US_8partners!$B$2:$Y$9,MATCH("Vietnam",Raw_US_8partners!$A$2:$A$9,0),10))/(INDEX(Raw_US_8partners!$B$2:$Y$9,MATCH("Canada",Raw_US_8partners!$A$2:$A$9,0),10)+INDEX(Raw_US_8partners!$B$2:$Y$9,MATCH("China",Raw_US_8partners!$A$2:$A$9,0),10)+INDEX(Raw_US_8partners!$B$2:$Y$9,MATCH("Japan",Raw_US_8partners!$A$2:$A$9,0),10)+INDEX(Raw_US_8partners!$B$2:$Y$9,MATCH("Malaysia",Raw_US_8partners!$A$2:$A$9,0),10)+INDEX(Raw_US_8partners!$B$2:$Y$9,MATCH("Singapore",Raw_US_8partners!$A$2:$A$9,0),10)+INDEX(Raw_US_8partners!$B$2:$Y$9,MATCH("Thailand",Raw_US_8partners!$A$2:$A$9,0),10)+INDEX(Raw_US_8partners!$B$2:$Y$9,MATCH("Taiwan",Raw_US_8partners!$A$2:$A$9,0),10)+INDEX(Raw_US_8partners!$B$2:$Y$9,MATCH("Vietnam",Raw_US_8partners!$A$2:$A$9,0),10))</f>
        <v>0.00787157901639491</v>
      </c>
      <c r="L7" s="15" t="n">
        <f aca="false">(INDEX(Raw_US_8partners!$B$2:$Y$9,MATCH("Malaysia",Raw_US_8partners!$A$2:$A$9,0),11)+INDEX(Raw_US_8partners!$B$2:$Y$9,MATCH("Thailand",Raw_US_8partners!$A$2:$A$9,0),11)+INDEX(Raw_US_8partners!$B$2:$Y$9,MATCH("Vietnam",Raw_US_8partners!$A$2:$A$9,0),11))/(INDEX(Raw_US_8partners!$B$2:$Y$9,MATCH("Canada",Raw_US_8partners!$A$2:$A$9,0),11)+INDEX(Raw_US_8partners!$B$2:$Y$9,MATCH("China",Raw_US_8partners!$A$2:$A$9,0),11)+INDEX(Raw_US_8partners!$B$2:$Y$9,MATCH("Japan",Raw_US_8partners!$A$2:$A$9,0),11)+INDEX(Raw_US_8partners!$B$2:$Y$9,MATCH("Malaysia",Raw_US_8partners!$A$2:$A$9,0),11)+INDEX(Raw_US_8partners!$B$2:$Y$9,MATCH("Singapore",Raw_US_8partners!$A$2:$A$9,0),11)+INDEX(Raw_US_8partners!$B$2:$Y$9,MATCH("Thailand",Raw_US_8partners!$A$2:$A$9,0),11)+INDEX(Raw_US_8partners!$B$2:$Y$9,MATCH("Taiwan",Raw_US_8partners!$A$2:$A$9,0),11)+INDEX(Raw_US_8partners!$B$2:$Y$9,MATCH("Vietnam",Raw_US_8partners!$A$2:$A$9,0),11))</f>
        <v>0.00811681648818608</v>
      </c>
      <c r="M7" s="15" t="n">
        <f aca="false">(INDEX(Raw_US_8partners!$B$2:$Y$9,MATCH("Malaysia",Raw_US_8partners!$A$2:$A$9,0),12)+INDEX(Raw_US_8partners!$B$2:$Y$9,MATCH("Thailand",Raw_US_8partners!$A$2:$A$9,0),12)+INDEX(Raw_US_8partners!$B$2:$Y$9,MATCH("Vietnam",Raw_US_8partners!$A$2:$A$9,0),12))/(INDEX(Raw_US_8partners!$B$2:$Y$9,MATCH("Canada",Raw_US_8partners!$A$2:$A$9,0),12)+INDEX(Raw_US_8partners!$B$2:$Y$9,MATCH("China",Raw_US_8partners!$A$2:$A$9,0),12)+INDEX(Raw_US_8partners!$B$2:$Y$9,MATCH("Japan",Raw_US_8partners!$A$2:$A$9,0),12)+INDEX(Raw_US_8partners!$B$2:$Y$9,MATCH("Malaysia",Raw_US_8partners!$A$2:$A$9,0),12)+INDEX(Raw_US_8partners!$B$2:$Y$9,MATCH("Singapore",Raw_US_8partners!$A$2:$A$9,0),12)+INDEX(Raw_US_8partners!$B$2:$Y$9,MATCH("Thailand",Raw_US_8partners!$A$2:$A$9,0),12)+INDEX(Raw_US_8partners!$B$2:$Y$9,MATCH("Taiwan",Raw_US_8partners!$A$2:$A$9,0),12)+INDEX(Raw_US_8partners!$B$2:$Y$9,MATCH("Vietnam",Raw_US_8partners!$A$2:$A$9,0),12))</f>
        <v>0.0055450393304376</v>
      </c>
      <c r="N7" s="15" t="n">
        <f aca="false">(INDEX(Raw_US_8partners!$B$2:$Y$9,MATCH("Malaysia",Raw_US_8partners!$A$2:$A$9,0),13)+INDEX(Raw_US_8partners!$B$2:$Y$9,MATCH("Thailand",Raw_US_8partners!$A$2:$A$9,0),13)+INDEX(Raw_US_8partners!$B$2:$Y$9,MATCH("Vietnam",Raw_US_8partners!$A$2:$A$9,0),13))/(INDEX(Raw_US_8partners!$B$2:$Y$9,MATCH("Canada",Raw_US_8partners!$A$2:$A$9,0),13)+INDEX(Raw_US_8partners!$B$2:$Y$9,MATCH("China",Raw_US_8partners!$A$2:$A$9,0),13)+INDEX(Raw_US_8partners!$B$2:$Y$9,MATCH("Japan",Raw_US_8partners!$A$2:$A$9,0),13)+INDEX(Raw_US_8partners!$B$2:$Y$9,MATCH("Malaysia",Raw_US_8partners!$A$2:$A$9,0),13)+INDEX(Raw_US_8partners!$B$2:$Y$9,MATCH("Singapore",Raw_US_8partners!$A$2:$A$9,0),13)+INDEX(Raw_US_8partners!$B$2:$Y$9,MATCH("Thailand",Raw_US_8partners!$A$2:$A$9,0),13)+INDEX(Raw_US_8partners!$B$2:$Y$9,MATCH("Taiwan",Raw_US_8partners!$A$2:$A$9,0),13)+INDEX(Raw_US_8partners!$B$2:$Y$9,MATCH("Vietnam",Raw_US_8partners!$A$2:$A$9,0),13))</f>
        <v>0.00692234419926282</v>
      </c>
      <c r="O7" s="15" t="n">
        <f aca="false">(INDEX(Raw_US_8partners!$B$2:$Y$9,MATCH("Malaysia",Raw_US_8partners!$A$2:$A$9,0),14)+INDEX(Raw_US_8partners!$B$2:$Y$9,MATCH("Thailand",Raw_US_8partners!$A$2:$A$9,0),14)+INDEX(Raw_US_8partners!$B$2:$Y$9,MATCH("Vietnam",Raw_US_8partners!$A$2:$A$9,0),14))/(INDEX(Raw_US_8partners!$B$2:$Y$9,MATCH("Canada",Raw_US_8partners!$A$2:$A$9,0),14)+INDEX(Raw_US_8partners!$B$2:$Y$9,MATCH("China",Raw_US_8partners!$A$2:$A$9,0),14)+INDEX(Raw_US_8partners!$B$2:$Y$9,MATCH("Japan",Raw_US_8partners!$A$2:$A$9,0),14)+INDEX(Raw_US_8partners!$B$2:$Y$9,MATCH("Malaysia",Raw_US_8partners!$A$2:$A$9,0),14)+INDEX(Raw_US_8partners!$B$2:$Y$9,MATCH("Singapore",Raw_US_8partners!$A$2:$A$9,0),14)+INDEX(Raw_US_8partners!$B$2:$Y$9,MATCH("Thailand",Raw_US_8partners!$A$2:$A$9,0),14)+INDEX(Raw_US_8partners!$B$2:$Y$9,MATCH("Taiwan",Raw_US_8partners!$A$2:$A$9,0),14)+INDEX(Raw_US_8partners!$B$2:$Y$9,MATCH("Vietnam",Raw_US_8partners!$A$2:$A$9,0),14))</f>
        <v>0.00531845153790099</v>
      </c>
      <c r="P7" s="15" t="n">
        <f aca="false">(INDEX(Raw_US_8partners!$B$2:$Y$9,MATCH("Malaysia",Raw_US_8partners!$A$2:$A$9,0),15)+INDEX(Raw_US_8partners!$B$2:$Y$9,MATCH("Thailand",Raw_US_8partners!$A$2:$A$9,0),15)+INDEX(Raw_US_8partners!$B$2:$Y$9,MATCH("Vietnam",Raw_US_8partners!$A$2:$A$9,0),15))/(INDEX(Raw_US_8partners!$B$2:$Y$9,MATCH("Canada",Raw_US_8partners!$A$2:$A$9,0),15)+INDEX(Raw_US_8partners!$B$2:$Y$9,MATCH("China",Raw_US_8partners!$A$2:$A$9,0),15)+INDEX(Raw_US_8partners!$B$2:$Y$9,MATCH("Japan",Raw_US_8partners!$A$2:$A$9,0),15)+INDEX(Raw_US_8partners!$B$2:$Y$9,MATCH("Malaysia",Raw_US_8partners!$A$2:$A$9,0),15)+INDEX(Raw_US_8partners!$B$2:$Y$9,MATCH("Singapore",Raw_US_8partners!$A$2:$A$9,0),15)+INDEX(Raw_US_8partners!$B$2:$Y$9,MATCH("Thailand",Raw_US_8partners!$A$2:$A$9,0),15)+INDEX(Raw_US_8partners!$B$2:$Y$9,MATCH("Taiwan",Raw_US_8partners!$A$2:$A$9,0),15)+INDEX(Raw_US_8partners!$B$2:$Y$9,MATCH("Vietnam",Raw_US_8partners!$A$2:$A$9,0),15))</f>
        <v>0.0054128352240978</v>
      </c>
      <c r="Q7" s="15" t="n">
        <f aca="false">(INDEX(Raw_US_8partners!$B$2:$Y$9,MATCH("Malaysia",Raw_US_8partners!$A$2:$A$9,0),16)+INDEX(Raw_US_8partners!$B$2:$Y$9,MATCH("Thailand",Raw_US_8partners!$A$2:$A$9,0),16)+INDEX(Raw_US_8partners!$B$2:$Y$9,MATCH("Vietnam",Raw_US_8partners!$A$2:$A$9,0),16))/(INDEX(Raw_US_8partners!$B$2:$Y$9,MATCH("Canada",Raw_US_8partners!$A$2:$A$9,0),16)+INDEX(Raw_US_8partners!$B$2:$Y$9,MATCH("China",Raw_US_8partners!$A$2:$A$9,0),16)+INDEX(Raw_US_8partners!$B$2:$Y$9,MATCH("Japan",Raw_US_8partners!$A$2:$A$9,0),16)+INDEX(Raw_US_8partners!$B$2:$Y$9,MATCH("Malaysia",Raw_US_8partners!$A$2:$A$9,0),16)+INDEX(Raw_US_8partners!$B$2:$Y$9,MATCH("Singapore",Raw_US_8partners!$A$2:$A$9,0),16)+INDEX(Raw_US_8partners!$B$2:$Y$9,MATCH("Thailand",Raw_US_8partners!$A$2:$A$9,0),16)+INDEX(Raw_US_8partners!$B$2:$Y$9,MATCH("Taiwan",Raw_US_8partners!$A$2:$A$9,0),16)+INDEX(Raw_US_8partners!$B$2:$Y$9,MATCH("Vietnam",Raw_US_8partners!$A$2:$A$9,0),16))</f>
        <v>0.00508629937864241</v>
      </c>
      <c r="R7" s="15" t="n">
        <f aca="false">(INDEX(Raw_US_8partners!$B$2:$Y$9,MATCH("Malaysia",Raw_US_8partners!$A$2:$A$9,0),17)+INDEX(Raw_US_8partners!$B$2:$Y$9,MATCH("Thailand",Raw_US_8partners!$A$2:$A$9,0),17)+INDEX(Raw_US_8partners!$B$2:$Y$9,MATCH("Vietnam",Raw_US_8partners!$A$2:$A$9,0),17)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</f>
        <v>0.00411896493104617</v>
      </c>
      <c r="S7" s="15" t="n">
        <f aca="false">(INDEX(Raw_US_8partners!$B$2:$Y$9,MATCH("Malaysia",Raw_US_8partners!$A$2:$A$9,0),18)+INDEX(Raw_US_8partners!$B$2:$Y$9,MATCH("Thailand",Raw_US_8partners!$A$2:$A$9,0),18)+INDEX(Raw_US_8partners!$B$2:$Y$9,MATCH("Vietnam",Raw_US_8partners!$A$2:$A$9,0),18))/(INDEX(Raw_US_8partners!$B$2:$Y$9,MATCH("Canada",Raw_US_8partners!$A$2:$A$9,0),18)+INDEX(Raw_US_8partners!$B$2:$Y$9,MATCH("China",Raw_US_8partners!$A$2:$A$9,0),18)+INDEX(Raw_US_8partners!$B$2:$Y$9,MATCH("Japan",Raw_US_8partners!$A$2:$A$9,0),18)+INDEX(Raw_US_8partners!$B$2:$Y$9,MATCH("Malaysia",Raw_US_8partners!$A$2:$A$9,0),18)+INDEX(Raw_US_8partners!$B$2:$Y$9,MATCH("Singapore",Raw_US_8partners!$A$2:$A$9,0),18)+INDEX(Raw_US_8partners!$B$2:$Y$9,MATCH("Thailand",Raw_US_8partners!$A$2:$A$9,0),18)+INDEX(Raw_US_8partners!$B$2:$Y$9,MATCH("Taiwan",Raw_US_8partners!$A$2:$A$9,0),18)+INDEX(Raw_US_8partners!$B$2:$Y$9,MATCH("Vietnam",Raw_US_8partners!$A$2:$A$9,0),18))</f>
        <v>0.00758358603720241</v>
      </c>
      <c r="T7" s="15" t="n">
        <f aca="false">(INDEX(Raw_US_8partners!$B$2:$Y$9,MATCH("Malaysia",Raw_US_8partners!$A$2:$A$9,0),19)+INDEX(Raw_US_8partners!$B$2:$Y$9,MATCH("Thailand",Raw_US_8partners!$A$2:$A$9,0),19)+INDEX(Raw_US_8partners!$B$2:$Y$9,MATCH("Vietnam",Raw_US_8partners!$A$2:$A$9,0),19))/(INDEX(Raw_US_8partners!$B$2:$Y$9,MATCH("Canada",Raw_US_8partners!$A$2:$A$9,0),19)+INDEX(Raw_US_8partners!$B$2:$Y$9,MATCH("China",Raw_US_8partners!$A$2:$A$9,0),19)+INDEX(Raw_US_8partners!$B$2:$Y$9,MATCH("Japan",Raw_US_8partners!$A$2:$A$9,0),19)+INDEX(Raw_US_8partners!$B$2:$Y$9,MATCH("Malaysia",Raw_US_8partners!$A$2:$A$9,0),19)+INDEX(Raw_US_8partners!$B$2:$Y$9,MATCH("Singapore",Raw_US_8partners!$A$2:$A$9,0),19)+INDEX(Raw_US_8partners!$B$2:$Y$9,MATCH("Thailand",Raw_US_8partners!$A$2:$A$9,0),19)+INDEX(Raw_US_8partners!$B$2:$Y$9,MATCH("Taiwan",Raw_US_8partners!$A$2:$A$9,0),19)+INDEX(Raw_US_8partners!$B$2:$Y$9,MATCH("Vietnam",Raw_US_8partners!$A$2:$A$9,0),19))</f>
        <v>0.0246437801446787</v>
      </c>
      <c r="U7" s="15" t="n">
        <f aca="false">(INDEX(Raw_US_8partners!$B$2:$Y$9,MATCH("Malaysia",Raw_US_8partners!$A$2:$A$9,0),20)+INDEX(Raw_US_8partners!$B$2:$Y$9,MATCH("Thailand",Raw_US_8partners!$A$2:$A$9,0),20)+INDEX(Raw_US_8partners!$B$2:$Y$9,MATCH("Vietnam",Raw_US_8partners!$A$2:$A$9,0),20))/(INDEX(Raw_US_8partners!$B$2:$Y$9,MATCH("Canada",Raw_US_8partners!$A$2:$A$9,0),20)+INDEX(Raw_US_8partners!$B$2:$Y$9,MATCH("China",Raw_US_8partners!$A$2:$A$9,0),20)+INDEX(Raw_US_8partners!$B$2:$Y$9,MATCH("Japan",Raw_US_8partners!$A$2:$A$9,0),20)+INDEX(Raw_US_8partners!$B$2:$Y$9,MATCH("Malaysia",Raw_US_8partners!$A$2:$A$9,0),20)+INDEX(Raw_US_8partners!$B$2:$Y$9,MATCH("Singapore",Raw_US_8partners!$A$2:$A$9,0),20)+INDEX(Raw_US_8partners!$B$2:$Y$9,MATCH("Thailand",Raw_US_8partners!$A$2:$A$9,0),20)+INDEX(Raw_US_8partners!$B$2:$Y$9,MATCH("Taiwan",Raw_US_8partners!$A$2:$A$9,0),20)+INDEX(Raw_US_8partners!$B$2:$Y$9,MATCH("Vietnam",Raw_US_8partners!$A$2:$A$9,0),20))</f>
        <v>0.0273494924275504</v>
      </c>
      <c r="V7" s="15" t="n">
        <f aca="false">(INDEX(Raw_US_8partners!$B$2:$Y$9,MATCH("Malaysia",Raw_US_8partners!$A$2:$A$9,0),21)+INDEX(Raw_US_8partners!$B$2:$Y$9,MATCH("Thailand",Raw_US_8partners!$A$2:$A$9,0),21)+INDEX(Raw_US_8partners!$B$2:$Y$9,MATCH("Vietnam",Raw_US_8partners!$A$2:$A$9,0),21))/(INDEX(Raw_US_8partners!$B$2:$Y$9,MATCH("Canada",Raw_US_8partners!$A$2:$A$9,0),21)+INDEX(Raw_US_8partners!$B$2:$Y$9,MATCH("China",Raw_US_8partners!$A$2:$A$9,0),21)+INDEX(Raw_US_8partners!$B$2:$Y$9,MATCH("Japan",Raw_US_8partners!$A$2:$A$9,0),21)+INDEX(Raw_US_8partners!$B$2:$Y$9,MATCH("Malaysia",Raw_US_8partners!$A$2:$A$9,0),21)+INDEX(Raw_US_8partners!$B$2:$Y$9,MATCH("Singapore",Raw_US_8partners!$A$2:$A$9,0),21)+INDEX(Raw_US_8partners!$B$2:$Y$9,MATCH("Thailand",Raw_US_8partners!$A$2:$A$9,0),21)+INDEX(Raw_US_8partners!$B$2:$Y$9,MATCH("Taiwan",Raw_US_8partners!$A$2:$A$9,0),21)+INDEX(Raw_US_8partners!$B$2:$Y$9,MATCH("Vietnam",Raw_US_8partners!$A$2:$A$9,0),21))</f>
        <v>0.0316869315481557</v>
      </c>
      <c r="W7" s="15" t="n">
        <f aca="false">(INDEX(Raw_US_8partners!$B$2:$Y$9,MATCH("Malaysia",Raw_US_8partners!$A$2:$A$9,0),22)+INDEX(Raw_US_8partners!$B$2:$Y$9,MATCH("Thailand",Raw_US_8partners!$A$2:$A$9,0),22)+INDEX(Raw_US_8partners!$B$2:$Y$9,MATCH("Vietnam",Raw_US_8partners!$A$2:$A$9,0),22))/(INDEX(Raw_US_8partners!$B$2:$Y$9,MATCH("Canada",Raw_US_8partners!$A$2:$A$9,0),22)+INDEX(Raw_US_8partners!$B$2:$Y$9,MATCH("China",Raw_US_8partners!$A$2:$A$9,0),22)+INDEX(Raw_US_8partners!$B$2:$Y$9,MATCH("Japan",Raw_US_8partners!$A$2:$A$9,0),22)+INDEX(Raw_US_8partners!$B$2:$Y$9,MATCH("Malaysia",Raw_US_8partners!$A$2:$A$9,0),22)+INDEX(Raw_US_8partners!$B$2:$Y$9,MATCH("Singapore",Raw_US_8partners!$A$2:$A$9,0),22)+INDEX(Raw_US_8partners!$B$2:$Y$9,MATCH("Thailand",Raw_US_8partners!$A$2:$A$9,0),22)+INDEX(Raw_US_8partners!$B$2:$Y$9,MATCH("Taiwan",Raw_US_8partners!$A$2:$A$9,0),22)+INDEX(Raw_US_8partners!$B$2:$Y$9,MATCH("Vietnam",Raw_US_8partners!$A$2:$A$9,0),22))</f>
        <v>0.0319854469213236</v>
      </c>
      <c r="X7" s="15" t="n">
        <f aca="false">(INDEX(Raw_US_8partners!$B$2:$Y$9,MATCH("Malaysia",Raw_US_8partners!$A$2:$A$9,0),23)+INDEX(Raw_US_8partners!$B$2:$Y$9,MATCH("Thailand",Raw_US_8partners!$A$2:$A$9,0),23)+INDEX(Raw_US_8partners!$B$2:$Y$9,MATCH("Vietnam",Raw_US_8partners!$A$2:$A$9,0),23))/(INDEX(Raw_US_8partners!$B$2:$Y$9,MATCH("Canada",Raw_US_8partners!$A$2:$A$9,0),23)+INDEX(Raw_US_8partners!$B$2:$Y$9,MATCH("China",Raw_US_8partners!$A$2:$A$9,0),23)+INDEX(Raw_US_8partners!$B$2:$Y$9,MATCH("Japan",Raw_US_8partners!$A$2:$A$9,0),23)+INDEX(Raw_US_8partners!$B$2:$Y$9,MATCH("Malaysia",Raw_US_8partners!$A$2:$A$9,0),23)+INDEX(Raw_US_8partners!$B$2:$Y$9,MATCH("Singapore",Raw_US_8partners!$A$2:$A$9,0),23)+INDEX(Raw_US_8partners!$B$2:$Y$9,MATCH("Thailand",Raw_US_8partners!$A$2:$A$9,0),23)+INDEX(Raw_US_8partners!$B$2:$Y$9,MATCH("Taiwan",Raw_US_8partners!$A$2:$A$9,0),23)+INDEX(Raw_US_8partners!$B$2:$Y$9,MATCH("Vietnam",Raw_US_8partners!$A$2:$A$9,0),23))</f>
        <v>0.039873928555931</v>
      </c>
      <c r="Y7" s="15" t="n">
        <f aca="false">(INDEX(Raw_US_8partners!$B$2:$Y$9,MATCH("Malaysia",Raw_US_8partners!$A$2:$A$9,0),24)+INDEX(Raw_US_8partners!$B$2:$Y$9,MATCH("Thailand",Raw_US_8partners!$A$2:$A$9,0),24)+INDEX(Raw_US_8partners!$B$2:$Y$9,MATCH("Vietnam",Raw_US_8partners!$A$2:$A$9,0),24)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</f>
        <v>0.0436615554845606</v>
      </c>
    </row>
    <row r="8" customFormat="false" ht="15" hidden="false" customHeight="false" outlineLevel="0" collapsed="false">
      <c r="A8" s="16" t="s">
        <v>28</v>
      </c>
      <c r="B8" s="15" t="n">
        <f aca="false">(INDEX(Raw_EU_HS8480!$B$2:$Y$9,MATCH("Malaysia",Raw_EU_HS8480!$A$2:$A$9,0),1)+INDEX(Raw_EU_HS8480!$B$2:$Y$9,MATCH("Thailand",Raw_EU_HS8480!$A$2:$A$9,0),1)+INDEX(Raw_EU_HS8480!$B$2:$Y$9,MATCH("Vietnam",Raw_EU_HS8480!$A$2:$A$9,0),1))/(INDEX(Raw_EU_HS8480!$B$2:$Y$9,MATCH("Canada",Raw_EU_HS8480!$A$2:$A$9,0),1)+INDEX(Raw_EU_HS8480!$B$2:$Y$9,MATCH("China",Raw_EU_HS8480!$A$2:$A$9,0),1)+INDEX(Raw_EU_HS8480!$B$2:$Y$9,MATCH("Japan",Raw_EU_HS8480!$A$2:$A$9,0),1)+INDEX(Raw_EU_HS8480!$B$2:$Y$9,MATCH("Malaysia",Raw_EU_HS8480!$A$2:$A$9,0),1)+INDEX(Raw_EU_HS8480!$B$2:$Y$9,MATCH("Singapore",Raw_EU_HS8480!$A$2:$A$9,0),1)+INDEX(Raw_EU_HS8480!$B$2:$Y$9,MATCH("Thailand",Raw_EU_HS8480!$A$2:$A$9,0),1)+INDEX(Raw_EU_HS8480!$B$2:$Y$9,MATCH("Taiwan",Raw_EU_HS8480!$A$2:$A$9,0),1)+INDEX(Raw_EU_HS8480!$B$2:$Y$9,MATCH("Vietnam",Raw_EU_HS8480!$A$2:$A$9,0),1))</f>
        <v>0.062661865587231</v>
      </c>
      <c r="C8" s="15" t="n">
        <f aca="false">(INDEX(Raw_EU_HS8480!$B$2:$Y$9,MATCH("Malaysia",Raw_EU_HS8480!$A$2:$A$9,0),2)+INDEX(Raw_EU_HS8480!$B$2:$Y$9,MATCH("Thailand",Raw_EU_HS8480!$A$2:$A$9,0),2)+INDEX(Raw_EU_HS8480!$B$2:$Y$9,MATCH("Vietnam",Raw_EU_HS8480!$A$2:$A$9,0),2))/(INDEX(Raw_EU_HS8480!$B$2:$Y$9,MATCH("Canada",Raw_EU_HS8480!$A$2:$A$9,0),2)+INDEX(Raw_EU_HS8480!$B$2:$Y$9,MATCH("China",Raw_EU_HS8480!$A$2:$A$9,0),2)+INDEX(Raw_EU_HS8480!$B$2:$Y$9,MATCH("Japan",Raw_EU_HS8480!$A$2:$A$9,0),2)+INDEX(Raw_EU_HS8480!$B$2:$Y$9,MATCH("Malaysia",Raw_EU_HS8480!$A$2:$A$9,0),2)+INDEX(Raw_EU_HS8480!$B$2:$Y$9,MATCH("Singapore",Raw_EU_HS8480!$A$2:$A$9,0),2)+INDEX(Raw_EU_HS8480!$B$2:$Y$9,MATCH("Thailand",Raw_EU_HS8480!$A$2:$A$9,0),2)+INDEX(Raw_EU_HS8480!$B$2:$Y$9,MATCH("Taiwan",Raw_EU_HS8480!$A$2:$A$9,0),2)+INDEX(Raw_EU_HS8480!$B$2:$Y$9,MATCH("Vietnam",Raw_EU_HS8480!$A$2:$A$9,0),2))</f>
        <v>0.055528521977253</v>
      </c>
      <c r="D8" s="15" t="n">
        <f aca="false">(INDEX(Raw_EU_HS8480!$B$2:$Y$9,MATCH("Malaysia",Raw_EU_HS8480!$A$2:$A$9,0),3)+INDEX(Raw_EU_HS8480!$B$2:$Y$9,MATCH("Thailand",Raw_EU_HS8480!$A$2:$A$9,0),3)+INDEX(Raw_EU_HS8480!$B$2:$Y$9,MATCH("Vietnam",Raw_EU_HS8480!$A$2:$A$9,0),3))/(INDEX(Raw_EU_HS8480!$B$2:$Y$9,MATCH("Canada",Raw_EU_HS8480!$A$2:$A$9,0),3)+INDEX(Raw_EU_HS8480!$B$2:$Y$9,MATCH("China",Raw_EU_HS8480!$A$2:$A$9,0),3)+INDEX(Raw_EU_HS8480!$B$2:$Y$9,MATCH("Japan",Raw_EU_HS8480!$A$2:$A$9,0),3)+INDEX(Raw_EU_HS8480!$B$2:$Y$9,MATCH("Malaysia",Raw_EU_HS8480!$A$2:$A$9,0),3)+INDEX(Raw_EU_HS8480!$B$2:$Y$9,MATCH("Singapore",Raw_EU_HS8480!$A$2:$A$9,0),3)+INDEX(Raw_EU_HS8480!$B$2:$Y$9,MATCH("Thailand",Raw_EU_HS8480!$A$2:$A$9,0),3)+INDEX(Raw_EU_HS8480!$B$2:$Y$9,MATCH("Taiwan",Raw_EU_HS8480!$A$2:$A$9,0),3)+INDEX(Raw_EU_HS8480!$B$2:$Y$9,MATCH("Vietnam",Raw_EU_HS8480!$A$2:$A$9,0),3))</f>
        <v>0.043301444984234</v>
      </c>
      <c r="E8" s="15" t="n">
        <f aca="false">(INDEX(Raw_EU_HS8480!$B$2:$Y$9,MATCH("Malaysia",Raw_EU_HS8480!$A$2:$A$9,0),4)+INDEX(Raw_EU_HS8480!$B$2:$Y$9,MATCH("Thailand",Raw_EU_HS8480!$A$2:$A$9,0),4)+INDEX(Raw_EU_HS8480!$B$2:$Y$9,MATCH("Vietnam",Raw_EU_HS8480!$A$2:$A$9,0),4))/(INDEX(Raw_EU_HS8480!$B$2:$Y$9,MATCH("Canada",Raw_EU_HS8480!$A$2:$A$9,0),4)+INDEX(Raw_EU_HS8480!$B$2:$Y$9,MATCH("China",Raw_EU_HS8480!$A$2:$A$9,0),4)+INDEX(Raw_EU_HS8480!$B$2:$Y$9,MATCH("Japan",Raw_EU_HS8480!$A$2:$A$9,0),4)+INDEX(Raw_EU_HS8480!$B$2:$Y$9,MATCH("Malaysia",Raw_EU_HS8480!$A$2:$A$9,0),4)+INDEX(Raw_EU_HS8480!$B$2:$Y$9,MATCH("Singapore",Raw_EU_HS8480!$A$2:$A$9,0),4)+INDEX(Raw_EU_HS8480!$B$2:$Y$9,MATCH("Thailand",Raw_EU_HS8480!$A$2:$A$9,0),4)+INDEX(Raw_EU_HS8480!$B$2:$Y$9,MATCH("Taiwan",Raw_EU_HS8480!$A$2:$A$9,0),4)+INDEX(Raw_EU_HS8480!$B$2:$Y$9,MATCH("Vietnam",Raw_EU_HS8480!$A$2:$A$9,0),4))</f>
        <v>0.0571262039470879</v>
      </c>
      <c r="F8" s="15" t="n">
        <f aca="false">(INDEX(Raw_EU_HS8480!$B$2:$Y$9,MATCH("Malaysia",Raw_EU_HS8480!$A$2:$A$9,0),5)+INDEX(Raw_EU_HS8480!$B$2:$Y$9,MATCH("Thailand",Raw_EU_HS8480!$A$2:$A$9,0),5)+INDEX(Raw_EU_HS8480!$B$2:$Y$9,MATCH("Vietnam",Raw_EU_HS8480!$A$2:$A$9,0),5))/(INDEX(Raw_EU_HS8480!$B$2:$Y$9,MATCH("Canada",Raw_EU_HS8480!$A$2:$A$9,0),5)+INDEX(Raw_EU_HS8480!$B$2:$Y$9,MATCH("China",Raw_EU_HS8480!$A$2:$A$9,0),5)+INDEX(Raw_EU_HS8480!$B$2:$Y$9,MATCH("Japan",Raw_EU_HS8480!$A$2:$A$9,0),5)+INDEX(Raw_EU_HS8480!$B$2:$Y$9,MATCH("Malaysia",Raw_EU_HS8480!$A$2:$A$9,0),5)+INDEX(Raw_EU_HS8480!$B$2:$Y$9,MATCH("Singapore",Raw_EU_HS8480!$A$2:$A$9,0),5)+INDEX(Raw_EU_HS8480!$B$2:$Y$9,MATCH("Thailand",Raw_EU_HS8480!$A$2:$A$9,0),5)+INDEX(Raw_EU_HS8480!$B$2:$Y$9,MATCH("Taiwan",Raw_EU_HS8480!$A$2:$A$9,0),5)+INDEX(Raw_EU_HS8480!$B$2:$Y$9,MATCH("Vietnam",Raw_EU_HS8480!$A$2:$A$9,0),5))</f>
        <v>0.0498065200794711</v>
      </c>
      <c r="G8" s="15" t="n">
        <f aca="false">(INDEX(Raw_EU_HS8480!$B$2:$Y$9,MATCH("Malaysia",Raw_EU_HS8480!$A$2:$A$9,0),6)+INDEX(Raw_EU_HS8480!$B$2:$Y$9,MATCH("Thailand",Raw_EU_HS8480!$A$2:$A$9,0),6)+INDEX(Raw_EU_HS8480!$B$2:$Y$9,MATCH("Vietnam",Raw_EU_HS8480!$A$2:$A$9,0),6))/(INDEX(Raw_EU_HS8480!$B$2:$Y$9,MATCH("Canada",Raw_EU_HS8480!$A$2:$A$9,0),6)+INDEX(Raw_EU_HS8480!$B$2:$Y$9,MATCH("China",Raw_EU_HS8480!$A$2:$A$9,0),6)+INDEX(Raw_EU_HS8480!$B$2:$Y$9,MATCH("Japan",Raw_EU_HS8480!$A$2:$A$9,0),6)+INDEX(Raw_EU_HS8480!$B$2:$Y$9,MATCH("Malaysia",Raw_EU_HS8480!$A$2:$A$9,0),6)+INDEX(Raw_EU_HS8480!$B$2:$Y$9,MATCH("Singapore",Raw_EU_HS8480!$A$2:$A$9,0),6)+INDEX(Raw_EU_HS8480!$B$2:$Y$9,MATCH("Thailand",Raw_EU_HS8480!$A$2:$A$9,0),6)+INDEX(Raw_EU_HS8480!$B$2:$Y$9,MATCH("Taiwan",Raw_EU_HS8480!$A$2:$A$9,0),6)+INDEX(Raw_EU_HS8480!$B$2:$Y$9,MATCH("Vietnam",Raw_EU_HS8480!$A$2:$A$9,0),6))</f>
        <v>0.0423075047838468</v>
      </c>
      <c r="H8" s="15" t="n">
        <f aca="false">(INDEX(Raw_EU_HS8480!$B$2:$Y$9,MATCH("Malaysia",Raw_EU_HS8480!$A$2:$A$9,0),7)+INDEX(Raw_EU_HS8480!$B$2:$Y$9,MATCH("Thailand",Raw_EU_HS8480!$A$2:$A$9,0),7)+INDEX(Raw_EU_HS8480!$B$2:$Y$9,MATCH("Vietnam",Raw_EU_HS8480!$A$2:$A$9,0),7))/(INDEX(Raw_EU_HS8480!$B$2:$Y$9,MATCH("Canada",Raw_EU_HS8480!$A$2:$A$9,0),7)+INDEX(Raw_EU_HS8480!$B$2:$Y$9,MATCH("China",Raw_EU_HS8480!$A$2:$A$9,0),7)+INDEX(Raw_EU_HS8480!$B$2:$Y$9,MATCH("Japan",Raw_EU_HS8480!$A$2:$A$9,0),7)+INDEX(Raw_EU_HS8480!$B$2:$Y$9,MATCH("Malaysia",Raw_EU_HS8480!$A$2:$A$9,0),7)+INDEX(Raw_EU_HS8480!$B$2:$Y$9,MATCH("Singapore",Raw_EU_HS8480!$A$2:$A$9,0),7)+INDEX(Raw_EU_HS8480!$B$2:$Y$9,MATCH("Thailand",Raw_EU_HS8480!$A$2:$A$9,0),7)+INDEX(Raw_EU_HS8480!$B$2:$Y$9,MATCH("Taiwan",Raw_EU_HS8480!$A$2:$A$9,0),7)+INDEX(Raw_EU_HS8480!$B$2:$Y$9,MATCH("Vietnam",Raw_EU_HS8480!$A$2:$A$9,0),7))</f>
        <v>0.0449666430573522</v>
      </c>
      <c r="I8" s="15" t="n">
        <f aca="false">(INDEX(Raw_EU_HS8480!$B$2:$Y$9,MATCH("Malaysia",Raw_EU_HS8480!$A$2:$A$9,0),8)+INDEX(Raw_EU_HS8480!$B$2:$Y$9,MATCH("Thailand",Raw_EU_HS8480!$A$2:$A$9,0),8)+INDEX(Raw_EU_HS8480!$B$2:$Y$9,MATCH("Vietnam",Raw_EU_HS8480!$A$2:$A$9,0),8))/(INDEX(Raw_EU_HS8480!$B$2:$Y$9,MATCH("Canada",Raw_EU_HS8480!$A$2:$A$9,0),8)+INDEX(Raw_EU_HS8480!$B$2:$Y$9,MATCH("China",Raw_EU_HS8480!$A$2:$A$9,0),8)+INDEX(Raw_EU_HS8480!$B$2:$Y$9,MATCH("Japan",Raw_EU_HS8480!$A$2:$A$9,0),8)+INDEX(Raw_EU_HS8480!$B$2:$Y$9,MATCH("Malaysia",Raw_EU_HS8480!$A$2:$A$9,0),8)+INDEX(Raw_EU_HS8480!$B$2:$Y$9,MATCH("Singapore",Raw_EU_HS8480!$A$2:$A$9,0),8)+INDEX(Raw_EU_HS8480!$B$2:$Y$9,MATCH("Thailand",Raw_EU_HS8480!$A$2:$A$9,0),8)+INDEX(Raw_EU_HS8480!$B$2:$Y$9,MATCH("Taiwan",Raw_EU_HS8480!$A$2:$A$9,0),8)+INDEX(Raw_EU_HS8480!$B$2:$Y$9,MATCH("Vietnam",Raw_EU_HS8480!$A$2:$A$9,0),8))</f>
        <v>0.0285484443648736</v>
      </c>
      <c r="J8" s="15" t="n">
        <f aca="false">(INDEX(Raw_EU_HS8480!$B$2:$Y$9,MATCH("Malaysia",Raw_EU_HS8480!$A$2:$A$9,0),9)+INDEX(Raw_EU_HS8480!$B$2:$Y$9,MATCH("Thailand",Raw_EU_HS8480!$A$2:$A$9,0),9)+INDEX(Raw_EU_HS8480!$B$2:$Y$9,MATCH("Vietnam",Raw_EU_HS8480!$A$2:$A$9,0),9))/(INDEX(Raw_EU_HS8480!$B$2:$Y$9,MATCH("Canada",Raw_EU_HS8480!$A$2:$A$9,0),9)+INDEX(Raw_EU_HS8480!$B$2:$Y$9,MATCH("China",Raw_EU_HS8480!$A$2:$A$9,0),9)+INDEX(Raw_EU_HS8480!$B$2:$Y$9,MATCH("Japan",Raw_EU_HS8480!$A$2:$A$9,0),9)+INDEX(Raw_EU_HS8480!$B$2:$Y$9,MATCH("Malaysia",Raw_EU_HS8480!$A$2:$A$9,0),9)+INDEX(Raw_EU_HS8480!$B$2:$Y$9,MATCH("Singapore",Raw_EU_HS8480!$A$2:$A$9,0),9)+INDEX(Raw_EU_HS8480!$B$2:$Y$9,MATCH("Thailand",Raw_EU_HS8480!$A$2:$A$9,0),9)+INDEX(Raw_EU_HS8480!$B$2:$Y$9,MATCH("Taiwan",Raw_EU_HS8480!$A$2:$A$9,0),9)+INDEX(Raw_EU_HS8480!$B$2:$Y$9,MATCH("Vietnam",Raw_EU_HS8480!$A$2:$A$9,0),9))</f>
        <v>0.0292864720478624</v>
      </c>
      <c r="K8" s="15" t="n">
        <f aca="false">(INDEX(Raw_EU_HS8480!$B$2:$Y$9,MATCH("Malaysia",Raw_EU_HS8480!$A$2:$A$9,0),10)+INDEX(Raw_EU_HS8480!$B$2:$Y$9,MATCH("Thailand",Raw_EU_HS8480!$A$2:$A$9,0),10)+INDEX(Raw_EU_HS8480!$B$2:$Y$9,MATCH("Vietnam",Raw_EU_HS8480!$A$2:$A$9,0),10))/(INDEX(Raw_EU_HS8480!$B$2:$Y$9,MATCH("Canada",Raw_EU_HS8480!$A$2:$A$9,0),10)+INDEX(Raw_EU_HS8480!$B$2:$Y$9,MATCH("China",Raw_EU_HS8480!$A$2:$A$9,0),10)+INDEX(Raw_EU_HS8480!$B$2:$Y$9,MATCH("Japan",Raw_EU_HS8480!$A$2:$A$9,0),10)+INDEX(Raw_EU_HS8480!$B$2:$Y$9,MATCH("Malaysia",Raw_EU_HS8480!$A$2:$A$9,0),10)+INDEX(Raw_EU_HS8480!$B$2:$Y$9,MATCH("Singapore",Raw_EU_HS8480!$A$2:$A$9,0),10)+INDEX(Raw_EU_HS8480!$B$2:$Y$9,MATCH("Thailand",Raw_EU_HS8480!$A$2:$A$9,0),10)+INDEX(Raw_EU_HS8480!$B$2:$Y$9,MATCH("Taiwan",Raw_EU_HS8480!$A$2:$A$9,0),10)+INDEX(Raw_EU_HS8480!$B$2:$Y$9,MATCH("Vietnam",Raw_EU_HS8480!$A$2:$A$9,0),10))</f>
        <v>0.0287995581842279</v>
      </c>
      <c r="L8" s="15" t="n">
        <f aca="false">(INDEX(Raw_EU_HS8480!$B$2:$Y$9,MATCH("Malaysia",Raw_EU_HS8480!$A$2:$A$9,0),11)+INDEX(Raw_EU_HS8480!$B$2:$Y$9,MATCH("Thailand",Raw_EU_HS8480!$A$2:$A$9,0),11)+INDEX(Raw_EU_HS8480!$B$2:$Y$9,MATCH("Vietnam",Raw_EU_HS8480!$A$2:$A$9,0),11))/(INDEX(Raw_EU_HS8480!$B$2:$Y$9,MATCH("Canada",Raw_EU_HS8480!$A$2:$A$9,0),11)+INDEX(Raw_EU_HS8480!$B$2:$Y$9,MATCH("China",Raw_EU_HS8480!$A$2:$A$9,0),11)+INDEX(Raw_EU_HS8480!$B$2:$Y$9,MATCH("Japan",Raw_EU_HS8480!$A$2:$A$9,0),11)+INDEX(Raw_EU_HS8480!$B$2:$Y$9,MATCH("Malaysia",Raw_EU_HS8480!$A$2:$A$9,0),11)+INDEX(Raw_EU_HS8480!$B$2:$Y$9,MATCH("Singapore",Raw_EU_HS8480!$A$2:$A$9,0),11)+INDEX(Raw_EU_HS8480!$B$2:$Y$9,MATCH("Thailand",Raw_EU_HS8480!$A$2:$A$9,0),11)+INDEX(Raw_EU_HS8480!$B$2:$Y$9,MATCH("Taiwan",Raw_EU_HS8480!$A$2:$A$9,0),11)+INDEX(Raw_EU_HS8480!$B$2:$Y$9,MATCH("Vietnam",Raw_EU_HS8480!$A$2:$A$9,0),11))</f>
        <v>0.0216259125004164</v>
      </c>
      <c r="M8" s="15" t="n">
        <f aca="false">(INDEX(Raw_EU_HS8480!$B$2:$Y$9,MATCH("Malaysia",Raw_EU_HS8480!$A$2:$A$9,0),12)+INDEX(Raw_EU_HS8480!$B$2:$Y$9,MATCH("Thailand",Raw_EU_HS8480!$A$2:$A$9,0),12)+INDEX(Raw_EU_HS8480!$B$2:$Y$9,MATCH("Vietnam",Raw_EU_HS8480!$A$2:$A$9,0),12))/(INDEX(Raw_EU_HS8480!$B$2:$Y$9,MATCH("Canada",Raw_EU_HS8480!$A$2:$A$9,0),12)+INDEX(Raw_EU_HS8480!$B$2:$Y$9,MATCH("China",Raw_EU_HS8480!$A$2:$A$9,0),12)+INDEX(Raw_EU_HS8480!$B$2:$Y$9,MATCH("Japan",Raw_EU_HS8480!$A$2:$A$9,0),12)+INDEX(Raw_EU_HS8480!$B$2:$Y$9,MATCH("Malaysia",Raw_EU_HS8480!$A$2:$A$9,0),12)+INDEX(Raw_EU_HS8480!$B$2:$Y$9,MATCH("Singapore",Raw_EU_HS8480!$A$2:$A$9,0),12)+INDEX(Raw_EU_HS8480!$B$2:$Y$9,MATCH("Thailand",Raw_EU_HS8480!$A$2:$A$9,0),12)+INDEX(Raw_EU_HS8480!$B$2:$Y$9,MATCH("Taiwan",Raw_EU_HS8480!$A$2:$A$9,0),12)+INDEX(Raw_EU_HS8480!$B$2:$Y$9,MATCH("Vietnam",Raw_EU_HS8480!$A$2:$A$9,0),12))</f>
        <v>0.0250281422517253</v>
      </c>
      <c r="N8" s="15" t="n">
        <f aca="false">(INDEX(Raw_EU_HS8480!$B$2:$Y$9,MATCH("Malaysia",Raw_EU_HS8480!$A$2:$A$9,0),13)+INDEX(Raw_EU_HS8480!$B$2:$Y$9,MATCH("Thailand",Raw_EU_HS8480!$A$2:$A$9,0),13)+INDEX(Raw_EU_HS8480!$B$2:$Y$9,MATCH("Vietnam",Raw_EU_HS8480!$A$2:$A$9,0),13))/(INDEX(Raw_EU_HS8480!$B$2:$Y$9,MATCH("Canada",Raw_EU_HS8480!$A$2:$A$9,0),13)+INDEX(Raw_EU_HS8480!$B$2:$Y$9,MATCH("China",Raw_EU_HS8480!$A$2:$A$9,0),13)+INDEX(Raw_EU_HS8480!$B$2:$Y$9,MATCH("Japan",Raw_EU_HS8480!$A$2:$A$9,0),13)+INDEX(Raw_EU_HS8480!$B$2:$Y$9,MATCH("Malaysia",Raw_EU_HS8480!$A$2:$A$9,0),13)+INDEX(Raw_EU_HS8480!$B$2:$Y$9,MATCH("Singapore",Raw_EU_HS8480!$A$2:$A$9,0),13)+INDEX(Raw_EU_HS8480!$B$2:$Y$9,MATCH("Thailand",Raw_EU_HS8480!$A$2:$A$9,0),13)+INDEX(Raw_EU_HS8480!$B$2:$Y$9,MATCH("Taiwan",Raw_EU_HS8480!$A$2:$A$9,0),13)+INDEX(Raw_EU_HS8480!$B$2:$Y$9,MATCH("Vietnam",Raw_EU_HS8480!$A$2:$A$9,0),13))</f>
        <v>0.0225302117196098</v>
      </c>
      <c r="O8" s="15" t="n">
        <f aca="false">(INDEX(Raw_EU_HS8480!$B$2:$Y$9,MATCH("Malaysia",Raw_EU_HS8480!$A$2:$A$9,0),14)+INDEX(Raw_EU_HS8480!$B$2:$Y$9,MATCH("Thailand",Raw_EU_HS8480!$A$2:$A$9,0),14)+INDEX(Raw_EU_HS8480!$B$2:$Y$9,MATCH("Vietnam",Raw_EU_HS8480!$A$2:$A$9,0),14))/(INDEX(Raw_EU_HS8480!$B$2:$Y$9,MATCH("Canada",Raw_EU_HS8480!$A$2:$A$9,0),14)+INDEX(Raw_EU_HS8480!$B$2:$Y$9,MATCH("China",Raw_EU_HS8480!$A$2:$A$9,0),14)+INDEX(Raw_EU_HS8480!$B$2:$Y$9,MATCH("Japan",Raw_EU_HS8480!$A$2:$A$9,0),14)+INDEX(Raw_EU_HS8480!$B$2:$Y$9,MATCH("Malaysia",Raw_EU_HS8480!$A$2:$A$9,0),14)+INDEX(Raw_EU_HS8480!$B$2:$Y$9,MATCH("Singapore",Raw_EU_HS8480!$A$2:$A$9,0),14)+INDEX(Raw_EU_HS8480!$B$2:$Y$9,MATCH("Thailand",Raw_EU_HS8480!$A$2:$A$9,0),14)+INDEX(Raw_EU_HS8480!$B$2:$Y$9,MATCH("Taiwan",Raw_EU_HS8480!$A$2:$A$9,0),14)+INDEX(Raw_EU_HS8480!$B$2:$Y$9,MATCH("Vietnam",Raw_EU_HS8480!$A$2:$A$9,0),14))</f>
        <v>0.0222736131092842</v>
      </c>
      <c r="P8" s="15" t="n">
        <f aca="false">(INDEX(Raw_EU_HS8480!$B$2:$Y$9,MATCH("Malaysia",Raw_EU_HS8480!$A$2:$A$9,0),15)+INDEX(Raw_EU_HS8480!$B$2:$Y$9,MATCH("Thailand",Raw_EU_HS8480!$A$2:$A$9,0),15)+INDEX(Raw_EU_HS8480!$B$2:$Y$9,MATCH("Vietnam",Raw_EU_HS8480!$A$2:$A$9,0),15))/(INDEX(Raw_EU_HS8480!$B$2:$Y$9,MATCH("Canada",Raw_EU_HS8480!$A$2:$A$9,0),15)+INDEX(Raw_EU_HS8480!$B$2:$Y$9,MATCH("China",Raw_EU_HS8480!$A$2:$A$9,0),15)+INDEX(Raw_EU_HS8480!$B$2:$Y$9,MATCH("Japan",Raw_EU_HS8480!$A$2:$A$9,0),15)+INDEX(Raw_EU_HS8480!$B$2:$Y$9,MATCH("Malaysia",Raw_EU_HS8480!$A$2:$A$9,0),15)+INDEX(Raw_EU_HS8480!$B$2:$Y$9,MATCH("Singapore",Raw_EU_HS8480!$A$2:$A$9,0),15)+INDEX(Raw_EU_HS8480!$B$2:$Y$9,MATCH("Thailand",Raw_EU_HS8480!$A$2:$A$9,0),15)+INDEX(Raw_EU_HS8480!$B$2:$Y$9,MATCH("Taiwan",Raw_EU_HS8480!$A$2:$A$9,0),15)+INDEX(Raw_EU_HS8480!$B$2:$Y$9,MATCH("Vietnam",Raw_EU_HS8480!$A$2:$A$9,0),15))</f>
        <v>0.0250303393308252</v>
      </c>
      <c r="Q8" s="15" t="n">
        <f aca="false">(INDEX(Raw_EU_HS8480!$B$2:$Y$9,MATCH("Malaysia",Raw_EU_HS8480!$A$2:$A$9,0),16)+INDEX(Raw_EU_HS8480!$B$2:$Y$9,MATCH("Thailand",Raw_EU_HS8480!$A$2:$A$9,0),16)+INDEX(Raw_EU_HS8480!$B$2:$Y$9,MATCH("Vietnam",Raw_EU_HS8480!$A$2:$A$9,0),16))/(INDEX(Raw_EU_HS8480!$B$2:$Y$9,MATCH("Canada",Raw_EU_HS8480!$A$2:$A$9,0),16)+INDEX(Raw_EU_HS8480!$B$2:$Y$9,MATCH("China",Raw_EU_HS8480!$A$2:$A$9,0),16)+INDEX(Raw_EU_HS8480!$B$2:$Y$9,MATCH("Japan",Raw_EU_HS8480!$A$2:$A$9,0),16)+INDEX(Raw_EU_HS8480!$B$2:$Y$9,MATCH("Malaysia",Raw_EU_HS8480!$A$2:$A$9,0),16)+INDEX(Raw_EU_HS8480!$B$2:$Y$9,MATCH("Singapore",Raw_EU_HS8480!$A$2:$A$9,0),16)+INDEX(Raw_EU_HS8480!$B$2:$Y$9,MATCH("Thailand",Raw_EU_HS8480!$A$2:$A$9,0),16)+INDEX(Raw_EU_HS8480!$B$2:$Y$9,MATCH("Taiwan",Raw_EU_HS8480!$A$2:$A$9,0),16)+INDEX(Raw_EU_HS8480!$B$2:$Y$9,MATCH("Vietnam",Raw_EU_HS8480!$A$2:$A$9,0),16))</f>
        <v>0.0235573139455325</v>
      </c>
      <c r="R8" s="15" t="n">
        <f aca="false">(INDEX(Raw_EU_HS8480!$B$2:$Y$9,MATCH("Malaysia",Raw_EU_HS8480!$A$2:$A$9,0),17)+INDEX(Raw_EU_HS8480!$B$2:$Y$9,MATCH("Thailand",Raw_EU_HS8480!$A$2:$A$9,0),17)+INDEX(Raw_EU_HS8480!$B$2:$Y$9,MATCH("Vietnam",Raw_EU_HS8480!$A$2:$A$9,0),17)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</f>
        <v>0.0223456212499625</v>
      </c>
      <c r="S8" s="15" t="n">
        <f aca="false">(INDEX(Raw_EU_HS8480!$B$2:$Y$9,MATCH("Malaysia",Raw_EU_HS8480!$A$2:$A$9,0),18)+INDEX(Raw_EU_HS8480!$B$2:$Y$9,MATCH("Thailand",Raw_EU_HS8480!$A$2:$A$9,0),18)+INDEX(Raw_EU_HS8480!$B$2:$Y$9,MATCH("Vietnam",Raw_EU_HS8480!$A$2:$A$9,0),18))/(INDEX(Raw_EU_HS8480!$B$2:$Y$9,MATCH("Canada",Raw_EU_HS8480!$A$2:$A$9,0),18)+INDEX(Raw_EU_HS8480!$B$2:$Y$9,MATCH("China",Raw_EU_HS8480!$A$2:$A$9,0),18)+INDEX(Raw_EU_HS8480!$B$2:$Y$9,MATCH("Japan",Raw_EU_HS8480!$A$2:$A$9,0),18)+INDEX(Raw_EU_HS8480!$B$2:$Y$9,MATCH("Malaysia",Raw_EU_HS8480!$A$2:$A$9,0),18)+INDEX(Raw_EU_HS8480!$B$2:$Y$9,MATCH("Singapore",Raw_EU_HS8480!$A$2:$A$9,0),18)+INDEX(Raw_EU_HS8480!$B$2:$Y$9,MATCH("Thailand",Raw_EU_HS8480!$A$2:$A$9,0),18)+INDEX(Raw_EU_HS8480!$B$2:$Y$9,MATCH("Taiwan",Raw_EU_HS8480!$A$2:$A$9,0),18)+INDEX(Raw_EU_HS8480!$B$2:$Y$9,MATCH("Vietnam",Raw_EU_HS8480!$A$2:$A$9,0),18))</f>
        <v>0.025273057195536</v>
      </c>
      <c r="T8" s="15" t="n">
        <f aca="false">(INDEX(Raw_EU_HS8480!$B$2:$Y$9,MATCH("Malaysia",Raw_EU_HS8480!$A$2:$A$9,0),19)+INDEX(Raw_EU_HS8480!$B$2:$Y$9,MATCH("Thailand",Raw_EU_HS8480!$A$2:$A$9,0),19)+INDEX(Raw_EU_HS8480!$B$2:$Y$9,MATCH("Vietnam",Raw_EU_HS8480!$A$2:$A$9,0),19))/(INDEX(Raw_EU_HS8480!$B$2:$Y$9,MATCH("Canada",Raw_EU_HS8480!$A$2:$A$9,0),19)+INDEX(Raw_EU_HS8480!$B$2:$Y$9,MATCH("China",Raw_EU_HS8480!$A$2:$A$9,0),19)+INDEX(Raw_EU_HS8480!$B$2:$Y$9,MATCH("Japan",Raw_EU_HS8480!$A$2:$A$9,0),19)+INDEX(Raw_EU_HS8480!$B$2:$Y$9,MATCH("Malaysia",Raw_EU_HS8480!$A$2:$A$9,0),19)+INDEX(Raw_EU_HS8480!$B$2:$Y$9,MATCH("Singapore",Raw_EU_HS8480!$A$2:$A$9,0),19)+INDEX(Raw_EU_HS8480!$B$2:$Y$9,MATCH("Thailand",Raw_EU_HS8480!$A$2:$A$9,0),19)+INDEX(Raw_EU_HS8480!$B$2:$Y$9,MATCH("Taiwan",Raw_EU_HS8480!$A$2:$A$9,0),19)+INDEX(Raw_EU_HS8480!$B$2:$Y$9,MATCH("Vietnam",Raw_EU_HS8480!$A$2:$A$9,0),19))</f>
        <v>0.0273210519217791</v>
      </c>
      <c r="U8" s="15" t="n">
        <f aca="false">(INDEX(Raw_EU_HS8480!$B$2:$Y$9,MATCH("Malaysia",Raw_EU_HS8480!$A$2:$A$9,0),20)+INDEX(Raw_EU_HS8480!$B$2:$Y$9,MATCH("Thailand",Raw_EU_HS8480!$A$2:$A$9,0),20)+INDEX(Raw_EU_HS8480!$B$2:$Y$9,MATCH("Vietnam",Raw_EU_HS8480!$A$2:$A$9,0),20))/(INDEX(Raw_EU_HS8480!$B$2:$Y$9,MATCH("Canada",Raw_EU_HS8480!$A$2:$A$9,0),20)+INDEX(Raw_EU_HS8480!$B$2:$Y$9,MATCH("China",Raw_EU_HS8480!$A$2:$A$9,0),20)+INDEX(Raw_EU_HS8480!$B$2:$Y$9,MATCH("Japan",Raw_EU_HS8480!$A$2:$A$9,0),20)+INDEX(Raw_EU_HS8480!$B$2:$Y$9,MATCH("Malaysia",Raw_EU_HS8480!$A$2:$A$9,0),20)+INDEX(Raw_EU_HS8480!$B$2:$Y$9,MATCH("Singapore",Raw_EU_HS8480!$A$2:$A$9,0),20)+INDEX(Raw_EU_HS8480!$B$2:$Y$9,MATCH("Thailand",Raw_EU_HS8480!$A$2:$A$9,0),20)+INDEX(Raw_EU_HS8480!$B$2:$Y$9,MATCH("Taiwan",Raw_EU_HS8480!$A$2:$A$9,0),20)+INDEX(Raw_EU_HS8480!$B$2:$Y$9,MATCH("Vietnam",Raw_EU_HS8480!$A$2:$A$9,0),20))</f>
        <v>0.0273439767670729</v>
      </c>
      <c r="V8" s="15" t="n">
        <f aca="false">(INDEX(Raw_EU_HS8480!$B$2:$Y$9,MATCH("Malaysia",Raw_EU_HS8480!$A$2:$A$9,0),21)+INDEX(Raw_EU_HS8480!$B$2:$Y$9,MATCH("Thailand",Raw_EU_HS8480!$A$2:$A$9,0),21)+INDEX(Raw_EU_HS8480!$B$2:$Y$9,MATCH("Vietnam",Raw_EU_HS8480!$A$2:$A$9,0),21))/(INDEX(Raw_EU_HS8480!$B$2:$Y$9,MATCH("Canada",Raw_EU_HS8480!$A$2:$A$9,0),21)+INDEX(Raw_EU_HS8480!$B$2:$Y$9,MATCH("China",Raw_EU_HS8480!$A$2:$A$9,0),21)+INDEX(Raw_EU_HS8480!$B$2:$Y$9,MATCH("Japan",Raw_EU_HS8480!$A$2:$A$9,0),21)+INDEX(Raw_EU_HS8480!$B$2:$Y$9,MATCH("Malaysia",Raw_EU_HS8480!$A$2:$A$9,0),21)+INDEX(Raw_EU_HS8480!$B$2:$Y$9,MATCH("Singapore",Raw_EU_HS8480!$A$2:$A$9,0),21)+INDEX(Raw_EU_HS8480!$B$2:$Y$9,MATCH("Thailand",Raw_EU_HS8480!$A$2:$A$9,0),21)+INDEX(Raw_EU_HS8480!$B$2:$Y$9,MATCH("Taiwan",Raw_EU_HS8480!$A$2:$A$9,0),21)+INDEX(Raw_EU_HS8480!$B$2:$Y$9,MATCH("Vietnam",Raw_EU_HS8480!$A$2:$A$9,0),21))</f>
        <v>0.0280269056958686</v>
      </c>
      <c r="W8" s="15" t="n">
        <f aca="false">(INDEX(Raw_EU_HS8480!$B$2:$Y$9,MATCH("Malaysia",Raw_EU_HS8480!$A$2:$A$9,0),22)+INDEX(Raw_EU_HS8480!$B$2:$Y$9,MATCH("Thailand",Raw_EU_HS8480!$A$2:$A$9,0),22)+INDEX(Raw_EU_HS8480!$B$2:$Y$9,MATCH("Vietnam",Raw_EU_HS8480!$A$2:$A$9,0),22))/(INDEX(Raw_EU_HS8480!$B$2:$Y$9,MATCH("Canada",Raw_EU_HS8480!$A$2:$A$9,0),22)+INDEX(Raw_EU_HS8480!$B$2:$Y$9,MATCH("China",Raw_EU_HS8480!$A$2:$A$9,0),22)+INDEX(Raw_EU_HS8480!$B$2:$Y$9,MATCH("Japan",Raw_EU_HS8480!$A$2:$A$9,0),22)+INDEX(Raw_EU_HS8480!$B$2:$Y$9,MATCH("Malaysia",Raw_EU_HS8480!$A$2:$A$9,0),22)+INDEX(Raw_EU_HS8480!$B$2:$Y$9,MATCH("Singapore",Raw_EU_HS8480!$A$2:$A$9,0),22)+INDEX(Raw_EU_HS8480!$B$2:$Y$9,MATCH("Thailand",Raw_EU_HS8480!$A$2:$A$9,0),22)+INDEX(Raw_EU_HS8480!$B$2:$Y$9,MATCH("Taiwan",Raw_EU_HS8480!$A$2:$A$9,0),22)+INDEX(Raw_EU_HS8480!$B$2:$Y$9,MATCH("Vietnam",Raw_EU_HS8480!$A$2:$A$9,0),22))</f>
        <v>0.0199463257104555</v>
      </c>
      <c r="X8" s="15" t="n">
        <f aca="false">(INDEX(Raw_EU_HS8480!$B$2:$Y$9,MATCH("Malaysia",Raw_EU_HS8480!$A$2:$A$9,0),23)+INDEX(Raw_EU_HS8480!$B$2:$Y$9,MATCH("Thailand",Raw_EU_HS8480!$A$2:$A$9,0),23)+INDEX(Raw_EU_HS8480!$B$2:$Y$9,MATCH("Vietnam",Raw_EU_HS8480!$A$2:$A$9,0),23))/(INDEX(Raw_EU_HS8480!$B$2:$Y$9,MATCH("Canada",Raw_EU_HS8480!$A$2:$A$9,0),23)+INDEX(Raw_EU_HS8480!$B$2:$Y$9,MATCH("China",Raw_EU_HS8480!$A$2:$A$9,0),23)+INDEX(Raw_EU_HS8480!$B$2:$Y$9,MATCH("Japan",Raw_EU_HS8480!$A$2:$A$9,0),23)+INDEX(Raw_EU_HS8480!$B$2:$Y$9,MATCH("Malaysia",Raw_EU_HS8480!$A$2:$A$9,0),23)+INDEX(Raw_EU_HS8480!$B$2:$Y$9,MATCH("Singapore",Raw_EU_HS8480!$A$2:$A$9,0),23)+INDEX(Raw_EU_HS8480!$B$2:$Y$9,MATCH("Thailand",Raw_EU_HS8480!$A$2:$A$9,0),23)+INDEX(Raw_EU_HS8480!$B$2:$Y$9,MATCH("Taiwan",Raw_EU_HS8480!$A$2:$A$9,0),23)+INDEX(Raw_EU_HS8480!$B$2:$Y$9,MATCH("Vietnam",Raw_EU_HS8480!$A$2:$A$9,0),23))</f>
        <v>0.0190989395451374</v>
      </c>
      <c r="Y8" s="15" t="n">
        <f aca="false">(INDEX(Raw_EU_HS8480!$B$2:$Y$9,MATCH("Malaysia",Raw_EU_HS8480!$A$2:$A$9,0),24)+INDEX(Raw_EU_HS8480!$B$2:$Y$9,MATCH("Thailand",Raw_EU_HS8480!$A$2:$A$9,0),24)+INDEX(Raw_EU_HS8480!$B$2:$Y$9,MATCH("Vietnam",Raw_EU_HS8480!$A$2:$A$9,0),24)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0.0196934484347491</v>
      </c>
    </row>
    <row r="48" customFormat="false" ht="15" hidden="false" customHeight="false" outlineLevel="0" collapsed="false">
      <c r="A48" s="3" t="s">
        <v>29</v>
      </c>
      <c r="B48" s="3"/>
      <c r="C48" s="3"/>
      <c r="D48" s="3"/>
      <c r="E48" s="3"/>
      <c r="F48" s="3"/>
      <c r="G48" s="3"/>
    </row>
    <row r="49" customFormat="false" ht="15" hidden="false" customHeight="false" outlineLevel="0" collapsed="false">
      <c r="A49" s="17" t="s">
        <v>30</v>
      </c>
      <c r="B49" s="18" t="s">
        <v>31</v>
      </c>
      <c r="C49" s="18" t="s">
        <v>32</v>
      </c>
      <c r="D49" s="18" t="s">
        <v>33</v>
      </c>
      <c r="E49" s="18" t="s">
        <v>34</v>
      </c>
    </row>
    <row r="50" customFormat="false" ht="15" hidden="false" customHeight="false" outlineLevel="0" collapsed="false">
      <c r="A50" s="5" t="s">
        <v>35</v>
      </c>
      <c r="B50" s="19" t="n">
        <f aca="false">(INDEX(Raw_US_8partners!$B$2:$Y$9,MATCH("Canada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Canada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2.82450501952539</v>
      </c>
      <c r="C50" s="20" t="n">
        <f aca="false">(INDEX(Raw_US_8partners!$B$2:$Y$9,MATCH("Canada",Raw_US_8partners!$A$2:$A$9,0),24)/INDEX(Raw_US_8partners!$B$2:$Y$9,MATCH("Canada",Raw_US_8partners!$A$2:$A$9,0),17))^(1/7)-1</f>
        <v>-0.0374982478235331</v>
      </c>
      <c r="D50" s="19" t="n">
        <f aca="false">(INDEX(Raw_EU_HS8480!$B$2:$Y$9,MATCH("Canad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Canada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-1.2757492183165</v>
      </c>
      <c r="E50" s="20" t="n">
        <f aca="false">(INDEX(Raw_EU_HS8480!$B$2:$Y$9,MATCH("Canada",Raw_EU_HS8480!$A$2:$A$9,0),24)/INDEX(Raw_EU_HS8480!$B$2:$Y$9,MATCH("Canada",Raw_EU_HS8480!$A$2:$A$9,0),17))^(1/7)-1</f>
        <v>-0.0606706898309525</v>
      </c>
    </row>
    <row r="51" customFormat="false" ht="15" hidden="false" customHeight="false" outlineLevel="0" collapsed="false">
      <c r="A51" s="21" t="s">
        <v>36</v>
      </c>
      <c r="B51" s="22" t="n">
        <f aca="false">(INDEX(Raw_US_8partners!$B$2:$Y$9,MATCH("China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China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-5.7945181484471</v>
      </c>
      <c r="C51" s="23" t="n">
        <f aca="false">(INDEX(Raw_US_8partners!$B$2:$Y$9,MATCH("China",Raw_US_8partners!$A$2:$A$9,0),24)/INDEX(Raw_US_8partners!$B$2:$Y$9,MATCH("China",Raw_US_8partners!$A$2:$A$9,0),17))^(1/7)-1</f>
        <v>-0.0728685255800184</v>
      </c>
      <c r="D51" s="22" t="n">
        <f aca="false">(INDEX(Raw_EU_HS8480!$B$2:$Y$9,MATCH("Chin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China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5.33225545421499</v>
      </c>
      <c r="E51" s="23" t="n">
        <f aca="false">(INDEX(Raw_EU_HS8480!$B$2:$Y$9,MATCH("China",Raw_EU_HS8480!$A$2:$A$9,0),24)/INDEX(Raw_EU_HS8480!$B$2:$Y$9,MATCH("China",Raw_EU_HS8480!$A$2:$A$9,0),17))^(1/7)-1</f>
        <v>0.0451907332953969</v>
      </c>
    </row>
    <row r="52" customFormat="false" ht="15" hidden="false" customHeight="false" outlineLevel="0" collapsed="false">
      <c r="A52" s="5" t="s">
        <v>37</v>
      </c>
      <c r="B52" s="19" t="n">
        <f aca="false">(INDEX(Raw_US_8partners!$B$2:$Y$9,MATCH("Japan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Japan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-1.62558581296976</v>
      </c>
      <c r="C52" s="20" t="n">
        <f aca="false">(INDEX(Raw_US_8partners!$B$2:$Y$9,MATCH("Japan",Raw_US_8partners!$A$2:$A$9,0),24)/INDEX(Raw_US_8partners!$B$2:$Y$9,MATCH("Japan",Raw_US_8partners!$A$2:$A$9,0),17))^(1/7)-1</f>
        <v>-0.0661775290247622</v>
      </c>
      <c r="D52" s="19" t="n">
        <f aca="false">(INDEX(Raw_EU_HS8480!$B$2:$Y$9,MATCH("Japan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Japan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-3.19595373238898</v>
      </c>
      <c r="E52" s="20" t="n">
        <f aca="false">(INDEX(Raw_EU_HS8480!$B$2:$Y$9,MATCH("Japan",Raw_EU_HS8480!$A$2:$A$9,0),24)/INDEX(Raw_EU_HS8480!$B$2:$Y$9,MATCH("Japan",Raw_EU_HS8480!$A$2:$A$9,0),17))^(1/7)-1</f>
        <v>-0.126296123833809</v>
      </c>
    </row>
    <row r="53" customFormat="false" ht="15" hidden="false" customHeight="false" outlineLevel="0" collapsed="false">
      <c r="A53" s="21" t="s">
        <v>38</v>
      </c>
      <c r="B53" s="22" t="n">
        <f aca="false">(INDEX(Raw_US_8partners!$B$2:$Y$9,MATCH("Malaysia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Malaysia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0.610988501455985</v>
      </c>
      <c r="C53" s="23" t="n">
        <f aca="false">(INDEX(Raw_US_8partners!$B$2:$Y$9,MATCH("Malaysia",Raw_US_8partners!$A$2:$A$9,0),24)/INDEX(Raw_US_8partners!$B$2:$Y$9,MATCH("Malaysia",Raw_US_8partners!$A$2:$A$9,0),17))^(1/7)-1</f>
        <v>0.229800762116928</v>
      </c>
      <c r="D53" s="22" t="n">
        <f aca="false">(INDEX(Raw_EU_HS8480!$B$2:$Y$9,MATCH("Malaysi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Malaysia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-0.599210879482873</v>
      </c>
      <c r="E53" s="23" t="n">
        <f aca="false">(INDEX(Raw_EU_HS8480!$B$2:$Y$9,MATCH("Malaysia",Raw_EU_HS8480!$A$2:$A$9,0),24)/INDEX(Raw_EU_HS8480!$B$2:$Y$9,MATCH("Malaysia",Raw_EU_HS8480!$A$2:$A$9,0),17))^(1/7)-1</f>
        <v>-0.0920832259891141</v>
      </c>
    </row>
    <row r="54" customFormat="false" ht="15" hidden="false" customHeight="false" outlineLevel="0" collapsed="false">
      <c r="A54" s="5" t="s">
        <v>39</v>
      </c>
      <c r="B54" s="19" t="n">
        <f aca="false">(INDEX(Raw_US_8partners!$B$2:$Y$9,MATCH("Singapore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Singapore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0.209933589761856</v>
      </c>
      <c r="C54" s="20" t="n">
        <f aca="false">(INDEX(Raw_US_8partners!$B$2:$Y$9,MATCH("Singapore",Raw_US_8partners!$A$2:$A$9,0),24)/INDEX(Raw_US_8partners!$B$2:$Y$9,MATCH("Singapore",Raw_US_8partners!$A$2:$A$9,0),17))^(1/7)-1</f>
        <v>0.0220882509970837</v>
      </c>
      <c r="D54" s="19" t="n">
        <f aca="false">(INDEX(Raw_EU_HS8480!$B$2:$Y$9,MATCH("Singapore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Singapore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0.107657927530318</v>
      </c>
      <c r="E54" s="20" t="n">
        <f aca="false">(INDEX(Raw_EU_HS8480!$B$2:$Y$9,MATCH("Singapore",Raw_EU_HS8480!$A$2:$A$9,0),24)/INDEX(Raw_EU_HS8480!$B$2:$Y$9,MATCH("Singapore",Raw_EU_HS8480!$A$2:$A$9,0),17))^(1/7)-1</f>
        <v>0.0511498658297711</v>
      </c>
    </row>
    <row r="55" customFormat="false" ht="15" hidden="false" customHeight="false" outlineLevel="0" collapsed="false">
      <c r="A55" s="24" t="s">
        <v>40</v>
      </c>
      <c r="B55" s="22" t="n">
        <f aca="false">(INDEX(Raw_US_8partners!$B$2:$Y$9,MATCH("Thailand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Thailand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2.91816233202617</v>
      </c>
      <c r="C55" s="23" t="n">
        <f aca="false">(INDEX(Raw_US_8partners!$B$2:$Y$9,MATCH("Thailand",Raw_US_8partners!$A$2:$A$9,0),24)/INDEX(Raw_US_8partners!$B$2:$Y$9,MATCH("Thailand",Raw_US_8partners!$A$2:$A$9,0),17))^(1/7)-1</f>
        <v>0.42071924792156</v>
      </c>
      <c r="D55" s="22" t="n">
        <f aca="false">(INDEX(Raw_EU_HS8480!$B$2:$Y$9,MATCH("Thailand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Thailand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0.123996805896865</v>
      </c>
      <c r="E55" s="23" t="n">
        <f aca="false">(INDEX(Raw_EU_HS8480!$B$2:$Y$9,MATCH("Thailand",Raw_EU_HS8480!$A$2:$A$9,0),24)/INDEX(Raw_EU_HS8480!$B$2:$Y$9,MATCH("Thailand",Raw_EU_HS8480!$A$2:$A$9,0),17))^(1/7)-1</f>
        <v>0.102851795217402</v>
      </c>
    </row>
    <row r="56" customFormat="false" ht="15" hidden="false" customHeight="false" outlineLevel="0" collapsed="false">
      <c r="A56" s="5" t="s">
        <v>41</v>
      </c>
      <c r="B56" s="19" t="n">
        <f aca="false">(INDEX(Raw_US_8partners!$B$2:$Y$9,MATCH("Taiwan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Taiwan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0.431406296778163</v>
      </c>
      <c r="C56" s="20" t="n">
        <f aca="false">(INDEX(Raw_US_8partners!$B$2:$Y$9,MATCH("Taiwan",Raw_US_8partners!$A$2:$A$9,0),24)/INDEX(Raw_US_8partners!$B$2:$Y$9,MATCH("Taiwan",Raw_US_8partners!$A$2:$A$9,0),17))^(1/7)-1</f>
        <v>-0.0200759962058257</v>
      </c>
      <c r="D56" s="19" t="n">
        <f aca="false">(INDEX(Raw_EU_HS8480!$B$2:$Y$9,MATCH("Taiwan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Taiwan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-0.702993149518479</v>
      </c>
      <c r="E56" s="20" t="n">
        <f aca="false">(INDEX(Raw_EU_HS8480!$B$2:$Y$9,MATCH("Taiwan",Raw_EU_HS8480!$A$2:$A$9,0),24)/INDEX(Raw_EU_HS8480!$B$2:$Y$9,MATCH("Taiwan",Raw_EU_HS8480!$A$2:$A$9,0),17))^(1/7)-1</f>
        <v>-0.0756426254117747</v>
      </c>
    </row>
    <row r="57" customFormat="false" ht="15" hidden="false" customHeight="false" outlineLevel="0" collapsed="false">
      <c r="A57" s="21" t="s">
        <v>42</v>
      </c>
      <c r="B57" s="22" t="n">
        <f aca="false">(INDEX(Raw_US_8partners!$B$2:$Y$9,MATCH("Vietnam",Raw_US_8partners!$A$2:$A$9,0),24)/(INDEX(Raw_US_8partners!$B$2:$Y$9,MATCH("Canada",Raw_US_8partners!$A$2:$A$9,0),24)+INDEX(Raw_US_8partners!$B$2:$Y$9,MATCH("China",Raw_US_8partners!$A$2:$A$9,0),24)+INDEX(Raw_US_8partners!$B$2:$Y$9,MATCH("Japan",Raw_US_8partners!$A$2:$A$9,0),24)+INDEX(Raw_US_8partners!$B$2:$Y$9,MATCH("Malaysia",Raw_US_8partners!$A$2:$A$9,0),24)+INDEX(Raw_US_8partners!$B$2:$Y$9,MATCH("Singapore",Raw_US_8partners!$A$2:$A$9,0),24)+INDEX(Raw_US_8partners!$B$2:$Y$9,MATCH("Thailand",Raw_US_8partners!$A$2:$A$9,0),24)+INDEX(Raw_US_8partners!$B$2:$Y$9,MATCH("Taiwan",Raw_US_8partners!$A$2:$A$9,0),24)+INDEX(Raw_US_8partners!$B$2:$Y$9,MATCH("Vietnam",Raw_US_8partners!$A$2:$A$9,0),24))-INDEX(Raw_US_8partners!$B$2:$Y$9,MATCH("Vietnam",Raw_US_8partners!$A$2:$A$9,0),17)/(INDEX(Raw_US_8partners!$B$2:$Y$9,MATCH("Canada",Raw_US_8partners!$A$2:$A$9,0),17)+INDEX(Raw_US_8partners!$B$2:$Y$9,MATCH("China",Raw_US_8partners!$A$2:$A$9,0),17)+INDEX(Raw_US_8partners!$B$2:$Y$9,MATCH("Japan",Raw_US_8partners!$A$2:$A$9,0),17)+INDEX(Raw_US_8partners!$B$2:$Y$9,MATCH("Malaysia",Raw_US_8partners!$A$2:$A$9,0),17)+INDEX(Raw_US_8partners!$B$2:$Y$9,MATCH("Singapore",Raw_US_8partners!$A$2:$A$9,0),17)+INDEX(Raw_US_8partners!$B$2:$Y$9,MATCH("Thailand",Raw_US_8partners!$A$2:$A$9,0),17)+INDEX(Raw_US_8partners!$B$2:$Y$9,MATCH("Taiwan",Raw_US_8partners!$A$2:$A$9,0),17)+INDEX(Raw_US_8partners!$B$2:$Y$9,MATCH("Vietnam",Raw_US_8partners!$A$2:$A$9,0),17)))*100</f>
        <v>0.42510822186929</v>
      </c>
      <c r="C57" s="23" t="n">
        <f aca="false">(INDEX(Raw_US_8partners!$B$2:$Y$9,MATCH("Vietnam",Raw_US_8partners!$A$2:$A$9,0),24)/INDEX(Raw_US_8partners!$B$2:$Y$9,MATCH("Vietnam",Raw_US_8partners!$A$2:$A$9,0),17))^(1/7)-1</f>
        <v>0.223688650023166</v>
      </c>
      <c r="D57" s="22" t="n">
        <f aca="false">(INDEX(Raw_EU_HS8480!$B$2:$Y$9,MATCH("Vietnam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-INDEX(Raw_EU_HS8480!$B$2:$Y$9,MATCH("Vietnam",Raw_EU_HS8480!$A$2:$A$9,0),17)/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)*100</f>
        <v>0.209996792064669</v>
      </c>
      <c r="E57" s="23" t="n">
        <f aca="false">(INDEX(Raw_EU_HS8480!$B$2:$Y$9,MATCH("Vietnam",Raw_EU_HS8480!$A$2:$A$9,0),24)/INDEX(Raw_EU_HS8480!$B$2:$Y$9,MATCH("Vietnam",Raw_EU_HS8480!$A$2:$A$9,0),17))^(1/7)-1</f>
        <v>0.0646924244084106</v>
      </c>
    </row>
  </sheetData>
  <mergeCells count="3">
    <mergeCell ref="A1:Z1"/>
    <mergeCell ref="A2:Z2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11" t="s">
        <v>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4" customFormat="false" ht="15" hidden="false" customHeight="false" outlineLevel="0" collapsed="false">
      <c r="A4" s="12" t="s">
        <v>45</v>
      </c>
      <c r="B4" s="13" t="n">
        <v>2002</v>
      </c>
      <c r="C4" s="13" t="n">
        <v>2008</v>
      </c>
      <c r="D4" s="13" t="n">
        <v>2016</v>
      </c>
      <c r="E4" s="13" t="n">
        <v>2018</v>
      </c>
      <c r="F4" s="13" t="n">
        <v>2020</v>
      </c>
      <c r="G4" s="13" t="n">
        <v>2022</v>
      </c>
      <c r="H4" s="13" t="n">
        <v>2024</v>
      </c>
      <c r="I4" s="13" t="n">
        <v>2025</v>
      </c>
      <c r="J4" s="12" t="s">
        <v>46</v>
      </c>
      <c r="K4" s="12" t="s">
        <v>47</v>
      </c>
    </row>
    <row r="5" customFormat="false" ht="15" hidden="false" customHeight="false" outlineLevel="0" collapsed="false">
      <c r="A5" s="5" t="s">
        <v>35</v>
      </c>
      <c r="B5" s="25" t="n">
        <f aca="false">INDEX(Raw_EU_HS8480!$B$2:$Y$9,MATCH("Canada",Raw_EU_HS8480!$A$2:$A$9,0),1)</f>
        <v>18989123</v>
      </c>
      <c r="C5" s="25" t="n">
        <f aca="false">INDEX(Raw_EU_HS8480!$B$2:$Y$9,MATCH("Canada",Raw_EU_HS8480!$A$2:$A$9,0),7)</f>
        <v>21541501</v>
      </c>
      <c r="D5" s="25" t="n">
        <f aca="false">INDEX(Raw_EU_HS8480!$B$2:$Y$9,MATCH("Canada",Raw_EU_HS8480!$A$2:$A$9,0),15)</f>
        <v>31906240</v>
      </c>
      <c r="E5" s="25" t="n">
        <f aca="false">INDEX(Raw_EU_HS8480!$B$2:$Y$9,MATCH("Canada",Raw_EU_HS8480!$A$2:$A$9,0),17)</f>
        <v>33805163</v>
      </c>
      <c r="F5" s="25" t="n">
        <f aca="false">INDEX(Raw_EU_HS8480!$B$2:$Y$9,MATCH("Canada",Raw_EU_HS8480!$A$2:$A$9,0),19)</f>
        <v>24367976</v>
      </c>
      <c r="G5" s="25" t="n">
        <f aca="false">INDEX(Raw_EU_HS8480!$B$2:$Y$9,MATCH("Canada",Raw_EU_HS8480!$A$2:$A$9,0),21)</f>
        <v>25654284</v>
      </c>
      <c r="H5" s="25" t="n">
        <f aca="false">INDEX(Raw_EU_HS8480!$B$2:$Y$9,MATCH("Canada",Raw_EU_HS8480!$A$2:$A$9,0),23)</f>
        <v>21618881</v>
      </c>
      <c r="I5" s="25" t="n">
        <f aca="false">INDEX(Raw_EU_HS8480!$B$2:$Y$9,MATCH("Canada",Raw_EU_HS8480!$A$2:$A$9,0),24)</f>
        <v>21812636</v>
      </c>
      <c r="J5" s="26" t="n">
        <f aca="false">(INDEX(Raw_EU_HS8480!$B$2:$Y$9,MATCH("Canada",Raw_EU_HS8480!$A$2:$A$9,0),24)/INDEX(Raw_EU_HS8480!$B$2:$Y$9,MATCH("Canada",Raw_EU_HS8480!$A$2:$A$9,0),17))^(1/7)-1</f>
        <v>-0.0606706898309525</v>
      </c>
      <c r="K5" s="26" t="n">
        <f aca="false">INDEX(Raw_EU_HS8480!$B$2:$Y$9,MATCH("Canad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0.0128668521512587</v>
      </c>
    </row>
    <row r="6" customFormat="false" ht="15" hidden="false" customHeight="false" outlineLevel="0" collapsed="false">
      <c r="A6" s="21" t="s">
        <v>36</v>
      </c>
      <c r="B6" s="27" t="n">
        <f aca="false">INDEX(Raw_EU_HS8480!$B$2:$Y$9,MATCH("China",Raw_EU_HS8480!$A$2:$A$9,0),1)</f>
        <v>25574992</v>
      </c>
      <c r="C6" s="27" t="n">
        <f aca="false">INDEX(Raw_EU_HS8480!$B$2:$Y$9,MATCH("China",Raw_EU_HS8480!$A$2:$A$9,0),7)</f>
        <v>277579421</v>
      </c>
      <c r="D6" s="27" t="n">
        <f aca="false">INDEX(Raw_EU_HS8480!$B$2:$Y$9,MATCH("China",Raw_EU_HS8480!$A$2:$A$9,0),15)</f>
        <v>923862453</v>
      </c>
      <c r="E6" s="27" t="n">
        <f aca="false">INDEX(Raw_EU_HS8480!$B$2:$Y$9,MATCH("China",Raw_EU_HS8480!$A$2:$A$9,0),17)</f>
        <v>1164976717</v>
      </c>
      <c r="F6" s="27" t="n">
        <f aca="false">INDEX(Raw_EU_HS8480!$B$2:$Y$9,MATCH("China",Raw_EU_HS8480!$A$2:$A$9,0),19)</f>
        <v>1092728614</v>
      </c>
      <c r="G6" s="27" t="n">
        <f aca="false">INDEX(Raw_EU_HS8480!$B$2:$Y$9,MATCH("China",Raw_EU_HS8480!$A$2:$A$9,0),21)</f>
        <v>1222325853</v>
      </c>
      <c r="H6" s="27" t="n">
        <f aca="false">INDEX(Raw_EU_HS8480!$B$2:$Y$9,MATCH("China",Raw_EU_HS8480!$A$2:$A$9,0),23)</f>
        <v>1366732848</v>
      </c>
      <c r="I6" s="27" t="n">
        <f aca="false">INDEX(Raw_EU_HS8480!$B$2:$Y$9,MATCH("China",Raw_EU_HS8480!$A$2:$A$9,0),24)</f>
        <v>1587398991</v>
      </c>
      <c r="J6" s="28" t="n">
        <f aca="false">(INDEX(Raw_EU_HS8480!$B$2:$Y$9,MATCH("China",Raw_EU_HS8480!$A$2:$A$9,0),24)/INDEX(Raw_EU_HS8480!$B$2:$Y$9,MATCH("China",Raw_EU_HS8480!$A$2:$A$9,0),17))^(1/7)-1</f>
        <v>0.0451907332953969</v>
      </c>
      <c r="K6" s="28" t="n">
        <f aca="false">INDEX(Raw_EU_HS8480!$B$2:$Y$9,MATCH("Chin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0.936375966767804</v>
      </c>
    </row>
    <row r="7" customFormat="false" ht="15" hidden="false" customHeight="false" outlineLevel="0" collapsed="false">
      <c r="A7" s="5" t="s">
        <v>37</v>
      </c>
      <c r="B7" s="25" t="n">
        <f aca="false">INDEX(Raw_EU_HS8480!$B$2:$Y$9,MATCH("Japan",Raw_EU_HS8480!$A$2:$A$9,0),1)</f>
        <v>48383887</v>
      </c>
      <c r="C7" s="25" t="n">
        <f aca="false">INDEX(Raw_EU_HS8480!$B$2:$Y$9,MATCH("Japan",Raw_EU_HS8480!$A$2:$A$9,0),7)</f>
        <v>84031258</v>
      </c>
      <c r="D7" s="25" t="n">
        <f aca="false">INDEX(Raw_EU_HS8480!$B$2:$Y$9,MATCH("Japan",Raw_EU_HS8480!$A$2:$A$9,0),15)</f>
        <v>60499396</v>
      </c>
      <c r="E7" s="25" t="n">
        <f aca="false">INDEX(Raw_EU_HS8480!$B$2:$Y$9,MATCH("Japan",Raw_EU_HS8480!$A$2:$A$9,0),17)</f>
        <v>60443746</v>
      </c>
      <c r="F7" s="25" t="n">
        <f aca="false">INDEX(Raw_EU_HS8480!$B$2:$Y$9,MATCH("Japan",Raw_EU_HS8480!$A$2:$A$9,0),19)</f>
        <v>37455483</v>
      </c>
      <c r="G7" s="25" t="n">
        <f aca="false">INDEX(Raw_EU_HS8480!$B$2:$Y$9,MATCH("Japan",Raw_EU_HS8480!$A$2:$A$9,0),21)</f>
        <v>33469382</v>
      </c>
      <c r="H7" s="25" t="n">
        <f aca="false">INDEX(Raw_EU_HS8480!$B$2:$Y$9,MATCH("Japan",Raw_EU_HS8480!$A$2:$A$9,0),23)</f>
        <v>28457008</v>
      </c>
      <c r="I7" s="25" t="n">
        <f aca="false">INDEX(Raw_EU_HS8480!$B$2:$Y$9,MATCH("Japan",Raw_EU_HS8480!$A$2:$A$9,0),24)</f>
        <v>23490984</v>
      </c>
      <c r="J7" s="26" t="n">
        <f aca="false">(INDEX(Raw_EU_HS8480!$B$2:$Y$9,MATCH("Japan",Raw_EU_HS8480!$A$2:$A$9,0),24)/INDEX(Raw_EU_HS8480!$B$2:$Y$9,MATCH("Japan",Raw_EU_HS8480!$A$2:$A$9,0),17))^(1/7)-1</f>
        <v>-0.126296123833809</v>
      </c>
      <c r="K7" s="26" t="n">
        <f aca="false">INDEX(Raw_EU_HS8480!$B$2:$Y$9,MATCH("Japan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0.013856877179612</v>
      </c>
    </row>
    <row r="8" customFormat="false" ht="15" hidden="false" customHeight="false" outlineLevel="0" collapsed="false">
      <c r="A8" s="24" t="s">
        <v>38</v>
      </c>
      <c r="B8" s="27" t="n">
        <f aca="false">INDEX(Raw_EU_HS8480!$B$2:$Y$9,MATCH("Malaysia",Raw_EU_HS8480!$A$2:$A$9,0),1)</f>
        <v>5089985</v>
      </c>
      <c r="C8" s="27" t="n">
        <f aca="false">INDEX(Raw_EU_HS8480!$B$2:$Y$9,MATCH("Malaysia",Raw_EU_HS8480!$A$2:$A$9,0),7)</f>
        <v>12964056</v>
      </c>
      <c r="D8" s="27" t="n">
        <f aca="false">INDEX(Raw_EU_HS8480!$B$2:$Y$9,MATCH("Malaysia",Raw_EU_HS8480!$A$2:$A$9,0),15)</f>
        <v>10754757</v>
      </c>
      <c r="E8" s="27" t="n">
        <f aca="false">INDEX(Raw_EU_HS8480!$B$2:$Y$9,MATCH("Malaysia",Raw_EU_HS8480!$A$2:$A$9,0),17)</f>
        <v>13082494</v>
      </c>
      <c r="F8" s="27" t="n">
        <f aca="false">INDEX(Raw_EU_HS8480!$B$2:$Y$9,MATCH("Malaysia",Raw_EU_HS8480!$A$2:$A$9,0),19)</f>
        <v>10931848</v>
      </c>
      <c r="G8" s="27" t="n">
        <f aca="false">INDEX(Raw_EU_HS8480!$B$2:$Y$9,MATCH("Malaysia",Raw_EU_HS8480!$A$2:$A$9,0),21)</f>
        <v>14293436</v>
      </c>
      <c r="H8" s="27" t="n">
        <f aca="false">INDEX(Raw_EU_HS8480!$B$2:$Y$9,MATCH("Malaysia",Raw_EU_HS8480!$A$2:$A$9,0),23)</f>
        <v>7087694</v>
      </c>
      <c r="I8" s="27" t="n">
        <f aca="false">INDEX(Raw_EU_HS8480!$B$2:$Y$9,MATCH("Malaysia",Raw_EU_HS8480!$A$2:$A$9,0),24)</f>
        <v>6652928</v>
      </c>
      <c r="J8" s="28" t="n">
        <f aca="false">(INDEX(Raw_EU_HS8480!$B$2:$Y$9,MATCH("Malaysia",Raw_EU_HS8480!$A$2:$A$9,0),24)/INDEX(Raw_EU_HS8480!$B$2:$Y$9,MATCH("Malaysia",Raw_EU_HS8480!$A$2:$A$9,0),17))^(1/7)-1</f>
        <v>-0.0920832259891141</v>
      </c>
      <c r="K8" s="28" t="n">
        <f aca="false">INDEX(Raw_EU_HS8480!$B$2:$Y$9,MATCH("Malaysia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0.00392443356910045</v>
      </c>
    </row>
    <row r="9" customFormat="false" ht="15" hidden="false" customHeight="false" outlineLevel="0" collapsed="false">
      <c r="A9" s="5" t="s">
        <v>39</v>
      </c>
      <c r="B9" s="25" t="n">
        <f aca="false">INDEX(Raw_EU_HS8480!$B$2:$Y$9,MATCH("Singapore",Raw_EU_HS8480!$A$2:$A$9,0),1)</f>
        <v>6448794</v>
      </c>
      <c r="C9" s="25" t="n">
        <f aca="false">INDEX(Raw_EU_HS8480!$B$2:$Y$9,MATCH("Singapore",Raw_EU_HS8480!$A$2:$A$9,0),7)</f>
        <v>10030510</v>
      </c>
      <c r="D9" s="25" t="n">
        <f aca="false">INDEX(Raw_EU_HS8480!$B$2:$Y$9,MATCH("Singapore",Raw_EU_HS8480!$A$2:$A$9,0),15)</f>
        <v>19061360</v>
      </c>
      <c r="E9" s="25" t="n">
        <f aca="false">INDEX(Raw_EU_HS8480!$B$2:$Y$9,MATCH("Singapore",Raw_EU_HS8480!$A$2:$A$9,0),17)</f>
        <v>13731158</v>
      </c>
      <c r="F9" s="25" t="n">
        <f aca="false">INDEX(Raw_EU_HS8480!$B$2:$Y$9,MATCH("Singapore",Raw_EU_HS8480!$A$2:$A$9,0),19)</f>
        <v>14678051</v>
      </c>
      <c r="G9" s="25" t="n">
        <f aca="false">INDEX(Raw_EU_HS8480!$B$2:$Y$9,MATCH("Singapore",Raw_EU_HS8480!$A$2:$A$9,0),21)</f>
        <v>17908192</v>
      </c>
      <c r="H9" s="25" t="n">
        <f aca="false">INDEX(Raw_EU_HS8480!$B$2:$Y$9,MATCH("Singapore",Raw_EU_HS8480!$A$2:$A$9,0),23)</f>
        <v>21892569</v>
      </c>
      <c r="I9" s="25" t="n">
        <f aca="false">INDEX(Raw_EU_HS8480!$B$2:$Y$9,MATCH("Singapore",Raw_EU_HS8480!$A$2:$A$9,0),24)</f>
        <v>19469717</v>
      </c>
      <c r="J9" s="26" t="n">
        <f aca="false">(INDEX(Raw_EU_HS8480!$B$2:$Y$9,MATCH("Singapore",Raw_EU_HS8480!$A$2:$A$9,0),24)/INDEX(Raw_EU_HS8480!$B$2:$Y$9,MATCH("Singapore",Raw_EU_HS8480!$A$2:$A$9,0),17))^(1/7)-1</f>
        <v>0.0511498658297711</v>
      </c>
      <c r="K9" s="26" t="n">
        <f aca="false">INDEX(Raw_EU_HS8480!$B$2:$Y$9,MATCH("Singapore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0.0114848095418567</v>
      </c>
    </row>
    <row r="10" customFormat="false" ht="15" hidden="false" customHeight="false" outlineLevel="0" collapsed="false">
      <c r="A10" s="24" t="s">
        <v>40</v>
      </c>
      <c r="B10" s="27" t="n">
        <f aca="false">INDEX(Raw_EU_HS8480!$B$2:$Y$9,MATCH("Thailand",Raw_EU_HS8480!$A$2:$A$9,0),1)</f>
        <v>2695690</v>
      </c>
      <c r="C10" s="27" t="n">
        <f aca="false">INDEX(Raw_EU_HS8480!$B$2:$Y$9,MATCH("Thailand",Raw_EU_HS8480!$A$2:$A$9,0),7)</f>
        <v>6259193</v>
      </c>
      <c r="D10" s="27" t="n">
        <f aca="false">INDEX(Raw_EU_HS8480!$B$2:$Y$9,MATCH("Thailand",Raw_EU_HS8480!$A$2:$A$9,0),15)</f>
        <v>6424117</v>
      </c>
      <c r="E10" s="27" t="n">
        <f aca="false">INDEX(Raw_EU_HS8480!$B$2:$Y$9,MATCH("Thailand",Raw_EU_HS8480!$A$2:$A$9,0),17)</f>
        <v>3005738</v>
      </c>
      <c r="F10" s="27" t="n">
        <f aca="false">INDEX(Raw_EU_HS8480!$B$2:$Y$9,MATCH("Thailand",Raw_EU_HS8480!$A$2:$A$9,0),19)</f>
        <v>4377521</v>
      </c>
      <c r="G10" s="27" t="n">
        <f aca="false">INDEX(Raw_EU_HS8480!$B$2:$Y$9,MATCH("Thailand",Raw_EU_HS8480!$A$2:$A$9,0),21)</f>
        <v>5801557</v>
      </c>
      <c r="H10" s="27" t="n">
        <f aca="false">INDEX(Raw_EU_HS8480!$B$2:$Y$9,MATCH("Thailand",Raw_EU_HS8480!$A$2:$A$9,0),23)</f>
        <v>4036826</v>
      </c>
      <c r="I10" s="27" t="n">
        <f aca="false">INDEX(Raw_EU_HS8480!$B$2:$Y$9,MATCH("Thailand",Raw_EU_HS8480!$A$2:$A$9,0),24)</f>
        <v>5964461</v>
      </c>
      <c r="J10" s="28" t="n">
        <f aca="false">(INDEX(Raw_EU_HS8480!$B$2:$Y$9,MATCH("Thailand",Raw_EU_HS8480!$A$2:$A$9,0),24)/INDEX(Raw_EU_HS8480!$B$2:$Y$9,MATCH("Thailand",Raw_EU_HS8480!$A$2:$A$9,0),17))^(1/7)-1</f>
        <v>0.102851795217402</v>
      </c>
      <c r="K10" s="28" t="n">
        <f aca="false">INDEX(Raw_EU_HS8480!$B$2:$Y$9,MATCH("Thailand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0.00351832019976625</v>
      </c>
    </row>
    <row r="11" customFormat="false" ht="15" hidden="false" customHeight="false" outlineLevel="0" collapsed="false">
      <c r="A11" s="5" t="s">
        <v>41</v>
      </c>
      <c r="B11" s="25" t="n">
        <f aca="false">INDEX(Raw_EU_HS8480!$B$2:$Y$9,MATCH("Taiwan",Raw_EU_HS8480!$A$2:$A$9,0),1)</f>
        <v>17918798</v>
      </c>
      <c r="C11" s="25" t="n">
        <f aca="false">INDEX(Raw_EU_HS8480!$B$2:$Y$9,MATCH("Taiwan",Raw_EU_HS8480!$A$2:$A$9,0),7)</f>
        <v>24045380</v>
      </c>
      <c r="D11" s="25" t="n">
        <f aca="false">INDEX(Raw_EU_HS8480!$B$2:$Y$9,MATCH("Taiwan",Raw_EU_HS8480!$A$2:$A$9,0),15)</f>
        <v>22714317</v>
      </c>
      <c r="E11" s="25" t="n">
        <f aca="false">INDEX(Raw_EU_HS8480!$B$2:$Y$9,MATCH("Taiwan",Raw_EU_HS8480!$A$2:$A$9,0),17)</f>
        <v>16823169</v>
      </c>
      <c r="F11" s="25" t="n">
        <f aca="false">INDEX(Raw_EU_HS8480!$B$2:$Y$9,MATCH("Taiwan",Raw_EU_HS8480!$A$2:$A$9,0),19)</f>
        <v>14188269</v>
      </c>
      <c r="G11" s="25" t="n">
        <f aca="false">INDEX(Raw_EU_HS8480!$B$2:$Y$9,MATCH("Taiwan",Raw_EU_HS8480!$A$2:$A$9,0),21)</f>
        <v>12520526</v>
      </c>
      <c r="H11" s="25" t="n">
        <f aca="false">INDEX(Raw_EU_HS8480!$B$2:$Y$9,MATCH("Taiwan",Raw_EU_HS8480!$A$2:$A$9,0),23)</f>
        <v>11591978</v>
      </c>
      <c r="I11" s="25" t="n">
        <f aca="false">INDEX(Raw_EU_HS8480!$B$2:$Y$9,MATCH("Taiwan",Raw_EU_HS8480!$A$2:$A$9,0),24)</f>
        <v>9700345</v>
      </c>
      <c r="J11" s="26" t="n">
        <f aca="false">(INDEX(Raw_EU_HS8480!$B$2:$Y$9,MATCH("Taiwan",Raw_EU_HS8480!$A$2:$A$9,0),24)/INDEX(Raw_EU_HS8480!$B$2:$Y$9,MATCH("Taiwan",Raw_EU_HS8480!$A$2:$A$9,0),17))^(1/7)-1</f>
        <v>-0.0756426254117747</v>
      </c>
      <c r="K11" s="26" t="n">
        <f aca="false">INDEX(Raw_EU_HS8480!$B$2:$Y$9,MATCH("Taiwan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0.00572204592472003</v>
      </c>
    </row>
    <row r="12" customFormat="false" ht="15" hidden="false" customHeight="false" outlineLevel="0" collapsed="false">
      <c r="A12" s="24" t="s">
        <v>42</v>
      </c>
      <c r="B12" s="27" t="n">
        <f aca="false">INDEX(Raw_EU_HS8480!$B$2:$Y$9,MATCH("Vietnam",Raw_EU_HS8480!$A$2:$A$9,0),1)</f>
        <v>56974</v>
      </c>
      <c r="C12" s="27" t="n">
        <f aca="false">INDEX(Raw_EU_HS8480!$B$2:$Y$9,MATCH("Vietnam",Raw_EU_HS8480!$A$2:$A$9,0),7)</f>
        <v>421453</v>
      </c>
      <c r="D12" s="27" t="n">
        <f aca="false">INDEX(Raw_EU_HS8480!$B$2:$Y$9,MATCH("Vietnam",Raw_EU_HS8480!$A$2:$A$9,0),15)</f>
        <v>9984222</v>
      </c>
      <c r="E12" s="27" t="n">
        <f aca="false">INDEX(Raw_EU_HS8480!$B$2:$Y$9,MATCH("Vietnam",Raw_EU_HS8480!$A$2:$A$9,0),17)</f>
        <v>13391444</v>
      </c>
      <c r="F12" s="27" t="n">
        <f aca="false">INDEX(Raw_EU_HS8480!$B$2:$Y$9,MATCH("Vietnam",Raw_EU_HS8480!$A$2:$A$9,0),19)</f>
        <v>17931029</v>
      </c>
      <c r="G12" s="27" t="n">
        <f aca="false">INDEX(Raw_EU_HS8480!$B$2:$Y$9,MATCH("Vietnam",Raw_EU_HS8480!$A$2:$A$9,0),21)</f>
        <v>17733099</v>
      </c>
      <c r="H12" s="27" t="n">
        <f aca="false">INDEX(Raw_EU_HS8480!$B$2:$Y$9,MATCH("Vietnam",Raw_EU_HS8480!$A$2:$A$9,0),23)</f>
        <v>17113867</v>
      </c>
      <c r="I12" s="27" t="n">
        <f aca="false">INDEX(Raw_EU_HS8480!$B$2:$Y$9,MATCH("Vietnam",Raw_EU_HS8480!$A$2:$A$9,0),24)</f>
        <v>20768090</v>
      </c>
      <c r="J12" s="28" t="n">
        <f aca="false">(INDEX(Raw_EU_HS8480!$B$2:$Y$9,MATCH("Vietnam",Raw_EU_HS8480!$A$2:$A$9,0),24)/INDEX(Raw_EU_HS8480!$B$2:$Y$9,MATCH("Vietnam",Raw_EU_HS8480!$A$2:$A$9,0),17))^(1/7)-1</f>
        <v>0.0646924244084106</v>
      </c>
      <c r="K12" s="28" t="n">
        <f aca="false">INDEX(Raw_EU_HS8480!$B$2:$Y$9,MATCH("Vietnam",Raw_EU_HS8480!$A$2:$A$9,0),24)/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0.0122506946658824</v>
      </c>
    </row>
    <row r="13" customFormat="false" ht="15" hidden="false" customHeight="false" outlineLevel="0" collapsed="false">
      <c r="A13" s="29" t="s">
        <v>48</v>
      </c>
      <c r="B13" s="30" t="n">
        <f aca="false">(INDEX(Raw_EU_HS8480!$B$2:$Y$9,MATCH("Canada",Raw_EU_HS8480!$A$2:$A$9,0),1)+INDEX(Raw_EU_HS8480!$B$2:$Y$9,MATCH("China",Raw_EU_HS8480!$A$2:$A$9,0),1)+INDEX(Raw_EU_HS8480!$B$2:$Y$9,MATCH("Japan",Raw_EU_HS8480!$A$2:$A$9,0),1)+INDEX(Raw_EU_HS8480!$B$2:$Y$9,MATCH("Malaysia",Raw_EU_HS8480!$A$2:$A$9,0),1)+INDEX(Raw_EU_HS8480!$B$2:$Y$9,MATCH("Singapore",Raw_EU_HS8480!$A$2:$A$9,0),1)+INDEX(Raw_EU_HS8480!$B$2:$Y$9,MATCH("Thailand",Raw_EU_HS8480!$A$2:$A$9,0),1)+INDEX(Raw_EU_HS8480!$B$2:$Y$9,MATCH("Taiwan",Raw_EU_HS8480!$A$2:$A$9,0),1)+INDEX(Raw_EU_HS8480!$B$2:$Y$9,MATCH("Vietnam",Raw_EU_HS8480!$A$2:$A$9,0),1))</f>
        <v>125158243</v>
      </c>
      <c r="C13" s="30" t="n">
        <f aca="false">(INDEX(Raw_EU_HS8480!$B$2:$Y$9,MATCH("Canada",Raw_EU_HS8480!$A$2:$A$9,0),7)+INDEX(Raw_EU_HS8480!$B$2:$Y$9,MATCH("China",Raw_EU_HS8480!$A$2:$A$9,0),7)+INDEX(Raw_EU_HS8480!$B$2:$Y$9,MATCH("Japan",Raw_EU_HS8480!$A$2:$A$9,0),7)+INDEX(Raw_EU_HS8480!$B$2:$Y$9,MATCH("Malaysia",Raw_EU_HS8480!$A$2:$A$9,0),7)+INDEX(Raw_EU_HS8480!$B$2:$Y$9,MATCH("Singapore",Raw_EU_HS8480!$A$2:$A$9,0),7)+INDEX(Raw_EU_HS8480!$B$2:$Y$9,MATCH("Thailand",Raw_EU_HS8480!$A$2:$A$9,0),7)+INDEX(Raw_EU_HS8480!$B$2:$Y$9,MATCH("Taiwan",Raw_EU_HS8480!$A$2:$A$9,0),7)+INDEX(Raw_EU_HS8480!$B$2:$Y$9,MATCH("Vietnam",Raw_EU_HS8480!$A$2:$A$9,0),7))</f>
        <v>436872772</v>
      </c>
      <c r="D13" s="30" t="n">
        <f aca="false">(INDEX(Raw_EU_HS8480!$B$2:$Y$9,MATCH("Canada",Raw_EU_HS8480!$A$2:$A$9,0),15)+INDEX(Raw_EU_HS8480!$B$2:$Y$9,MATCH("China",Raw_EU_HS8480!$A$2:$A$9,0),15)+INDEX(Raw_EU_HS8480!$B$2:$Y$9,MATCH("Japan",Raw_EU_HS8480!$A$2:$A$9,0),15)+INDEX(Raw_EU_HS8480!$B$2:$Y$9,MATCH("Malaysia",Raw_EU_HS8480!$A$2:$A$9,0),15)+INDEX(Raw_EU_HS8480!$B$2:$Y$9,MATCH("Singapore",Raw_EU_HS8480!$A$2:$A$9,0),15)+INDEX(Raw_EU_HS8480!$B$2:$Y$9,MATCH("Thailand",Raw_EU_HS8480!$A$2:$A$9,0),15)+INDEX(Raw_EU_HS8480!$B$2:$Y$9,MATCH("Taiwan",Raw_EU_HS8480!$A$2:$A$9,0),15)+INDEX(Raw_EU_HS8480!$B$2:$Y$9,MATCH("Vietnam",Raw_EU_HS8480!$A$2:$A$9,0),15))</f>
        <v>1085206862</v>
      </c>
      <c r="E13" s="30" t="n">
        <f aca="false">(INDEX(Raw_EU_HS8480!$B$2:$Y$9,MATCH("Canada",Raw_EU_HS8480!$A$2:$A$9,0),17)+INDEX(Raw_EU_HS8480!$B$2:$Y$9,MATCH("China",Raw_EU_HS8480!$A$2:$A$9,0),17)+INDEX(Raw_EU_HS8480!$B$2:$Y$9,MATCH("Japan",Raw_EU_HS8480!$A$2:$A$9,0),17)+INDEX(Raw_EU_HS8480!$B$2:$Y$9,MATCH("Malaysia",Raw_EU_HS8480!$A$2:$A$9,0),17)+INDEX(Raw_EU_HS8480!$B$2:$Y$9,MATCH("Singapore",Raw_EU_HS8480!$A$2:$A$9,0),17)+INDEX(Raw_EU_HS8480!$B$2:$Y$9,MATCH("Thailand",Raw_EU_HS8480!$A$2:$A$9,0),17)+INDEX(Raw_EU_HS8480!$B$2:$Y$9,MATCH("Taiwan",Raw_EU_HS8480!$A$2:$A$9,0),17)+INDEX(Raw_EU_HS8480!$B$2:$Y$9,MATCH("Vietnam",Raw_EU_HS8480!$A$2:$A$9,0),17))</f>
        <v>1319259629</v>
      </c>
      <c r="F13" s="30" t="n">
        <f aca="false">(INDEX(Raw_EU_HS8480!$B$2:$Y$9,MATCH("Canada",Raw_EU_HS8480!$A$2:$A$9,0),19)+INDEX(Raw_EU_HS8480!$B$2:$Y$9,MATCH("China",Raw_EU_HS8480!$A$2:$A$9,0),19)+INDEX(Raw_EU_HS8480!$B$2:$Y$9,MATCH("Japan",Raw_EU_HS8480!$A$2:$A$9,0),19)+INDEX(Raw_EU_HS8480!$B$2:$Y$9,MATCH("Malaysia",Raw_EU_HS8480!$A$2:$A$9,0),19)+INDEX(Raw_EU_HS8480!$B$2:$Y$9,MATCH("Singapore",Raw_EU_HS8480!$A$2:$A$9,0),19)+INDEX(Raw_EU_HS8480!$B$2:$Y$9,MATCH("Thailand",Raw_EU_HS8480!$A$2:$A$9,0),19)+INDEX(Raw_EU_HS8480!$B$2:$Y$9,MATCH("Taiwan",Raw_EU_HS8480!$A$2:$A$9,0),19)+INDEX(Raw_EU_HS8480!$B$2:$Y$9,MATCH("Vietnam",Raw_EU_HS8480!$A$2:$A$9,0),19))</f>
        <v>1216658791</v>
      </c>
      <c r="G13" s="30" t="n">
        <f aca="false">(INDEX(Raw_EU_HS8480!$B$2:$Y$9,MATCH("Canada",Raw_EU_HS8480!$A$2:$A$9,0),21)+INDEX(Raw_EU_HS8480!$B$2:$Y$9,MATCH("China",Raw_EU_HS8480!$A$2:$A$9,0),21)+INDEX(Raw_EU_HS8480!$B$2:$Y$9,MATCH("Japan",Raw_EU_HS8480!$A$2:$A$9,0),21)+INDEX(Raw_EU_HS8480!$B$2:$Y$9,MATCH("Malaysia",Raw_EU_HS8480!$A$2:$A$9,0),21)+INDEX(Raw_EU_HS8480!$B$2:$Y$9,MATCH("Singapore",Raw_EU_HS8480!$A$2:$A$9,0),21)+INDEX(Raw_EU_HS8480!$B$2:$Y$9,MATCH("Thailand",Raw_EU_HS8480!$A$2:$A$9,0),21)+INDEX(Raw_EU_HS8480!$B$2:$Y$9,MATCH("Taiwan",Raw_EU_HS8480!$A$2:$A$9,0),21)+INDEX(Raw_EU_HS8480!$B$2:$Y$9,MATCH("Vietnam",Raw_EU_HS8480!$A$2:$A$9,0),21))</f>
        <v>1349706329</v>
      </c>
      <c r="H13" s="30" t="n">
        <f aca="false">(INDEX(Raw_EU_HS8480!$B$2:$Y$9,MATCH("Canada",Raw_EU_HS8480!$A$2:$A$9,0),23)+INDEX(Raw_EU_HS8480!$B$2:$Y$9,MATCH("China",Raw_EU_HS8480!$A$2:$A$9,0),23)+INDEX(Raw_EU_HS8480!$B$2:$Y$9,MATCH("Japan",Raw_EU_HS8480!$A$2:$A$9,0),23)+INDEX(Raw_EU_HS8480!$B$2:$Y$9,MATCH("Malaysia",Raw_EU_HS8480!$A$2:$A$9,0),23)+INDEX(Raw_EU_HS8480!$B$2:$Y$9,MATCH("Singapore",Raw_EU_HS8480!$A$2:$A$9,0),23)+INDEX(Raw_EU_HS8480!$B$2:$Y$9,MATCH("Thailand",Raw_EU_HS8480!$A$2:$A$9,0),23)+INDEX(Raw_EU_HS8480!$B$2:$Y$9,MATCH("Taiwan",Raw_EU_HS8480!$A$2:$A$9,0),23)+INDEX(Raw_EU_HS8480!$B$2:$Y$9,MATCH("Vietnam",Raw_EU_HS8480!$A$2:$A$9,0),23))</f>
        <v>1478531671</v>
      </c>
      <c r="I13" s="30" t="n">
        <f aca="false">(INDEX(Raw_EU_HS8480!$B$2:$Y$9,MATCH("Canada",Raw_EU_HS8480!$A$2:$A$9,0),24)+INDEX(Raw_EU_HS8480!$B$2:$Y$9,MATCH("China",Raw_EU_HS8480!$A$2:$A$9,0),24)+INDEX(Raw_EU_HS8480!$B$2:$Y$9,MATCH("Japan",Raw_EU_HS8480!$A$2:$A$9,0),24)+INDEX(Raw_EU_HS8480!$B$2:$Y$9,MATCH("Malaysia",Raw_EU_HS8480!$A$2:$A$9,0),24)+INDEX(Raw_EU_HS8480!$B$2:$Y$9,MATCH("Singapore",Raw_EU_HS8480!$A$2:$A$9,0),24)+INDEX(Raw_EU_HS8480!$B$2:$Y$9,MATCH("Thailand",Raw_EU_HS8480!$A$2:$A$9,0),24)+INDEX(Raw_EU_HS8480!$B$2:$Y$9,MATCH("Taiwan",Raw_EU_HS8480!$A$2:$A$9,0),24)+INDEX(Raw_EU_HS8480!$B$2:$Y$9,MATCH("Vietnam",Raw_EU_HS8480!$A$2:$A$9,0),24))</f>
        <v>1695258152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5" min="2" style="0" width="11"/>
  </cols>
  <sheetData>
    <row r="1" customFormat="false" ht="15" hidden="false" customHeight="false" outlineLevel="0" collapsed="false">
      <c r="A1" s="12" t="s">
        <v>49</v>
      </c>
      <c r="B1" s="13" t="n">
        <v>2002</v>
      </c>
      <c r="C1" s="13" t="n">
        <v>2003</v>
      </c>
      <c r="D1" s="13" t="n">
        <v>2004</v>
      </c>
      <c r="E1" s="13" t="n">
        <v>2005</v>
      </c>
      <c r="F1" s="13" t="n">
        <v>2006</v>
      </c>
      <c r="G1" s="13" t="n">
        <v>2007</v>
      </c>
      <c r="H1" s="13" t="n">
        <v>2008</v>
      </c>
      <c r="I1" s="13" t="n">
        <v>2009</v>
      </c>
      <c r="J1" s="13" t="n">
        <v>2010</v>
      </c>
      <c r="K1" s="13" t="n">
        <v>2011</v>
      </c>
      <c r="L1" s="13" t="n">
        <v>2012</v>
      </c>
      <c r="M1" s="13" t="n">
        <v>2013</v>
      </c>
      <c r="N1" s="13" t="n">
        <v>2014</v>
      </c>
      <c r="O1" s="13" t="n">
        <v>2015</v>
      </c>
      <c r="P1" s="13" t="n">
        <v>2016</v>
      </c>
      <c r="Q1" s="13" t="n">
        <v>2017</v>
      </c>
      <c r="R1" s="13" t="n">
        <v>2018</v>
      </c>
      <c r="S1" s="13" t="n">
        <v>2019</v>
      </c>
      <c r="T1" s="13" t="n">
        <v>2020</v>
      </c>
      <c r="U1" s="13" t="n">
        <v>2021</v>
      </c>
      <c r="V1" s="13" t="n">
        <v>2022</v>
      </c>
      <c r="W1" s="13" t="n">
        <v>2023</v>
      </c>
      <c r="X1" s="13" t="n">
        <v>2024</v>
      </c>
      <c r="Y1" s="13" t="n">
        <v>2025</v>
      </c>
    </row>
    <row r="2" customFormat="false" ht="15" hidden="false" customHeight="false" outlineLevel="0" collapsed="false">
      <c r="A2" s="31" t="s">
        <v>35</v>
      </c>
      <c r="B2" s="32" t="n">
        <v>18989123</v>
      </c>
      <c r="C2" s="32" t="n">
        <v>27958204</v>
      </c>
      <c r="D2" s="32" t="n">
        <v>18309378</v>
      </c>
      <c r="E2" s="32" t="n">
        <v>18240522</v>
      </c>
      <c r="F2" s="32" t="n">
        <v>20509631</v>
      </c>
      <c r="G2" s="32" t="n">
        <v>13742075</v>
      </c>
      <c r="H2" s="32" t="n">
        <v>21541501</v>
      </c>
      <c r="I2" s="32" t="n">
        <v>20442330</v>
      </c>
      <c r="J2" s="32" t="n">
        <v>19628906</v>
      </c>
      <c r="K2" s="32" t="n">
        <v>15171987</v>
      </c>
      <c r="L2" s="32" t="n">
        <v>14827901</v>
      </c>
      <c r="M2" s="32" t="n">
        <v>15389982</v>
      </c>
      <c r="N2" s="32" t="n">
        <v>16851615</v>
      </c>
      <c r="O2" s="32" t="n">
        <v>25856214</v>
      </c>
      <c r="P2" s="32" t="n">
        <v>31906240</v>
      </c>
      <c r="Q2" s="32" t="n">
        <v>32855701.5</v>
      </c>
      <c r="R2" s="32" t="n">
        <v>33805163</v>
      </c>
      <c r="S2" s="32" t="n">
        <v>31608570</v>
      </c>
      <c r="T2" s="32" t="n">
        <v>24367976</v>
      </c>
      <c r="U2" s="32" t="n">
        <v>31047945</v>
      </c>
      <c r="V2" s="32" t="n">
        <v>25654284</v>
      </c>
      <c r="W2" s="32" t="n">
        <v>26356370</v>
      </c>
      <c r="X2" s="32" t="n">
        <v>21618881</v>
      </c>
      <c r="Y2" s="32" t="n">
        <v>21812636</v>
      </c>
    </row>
    <row r="3" customFormat="false" ht="15" hidden="false" customHeight="false" outlineLevel="0" collapsed="false">
      <c r="A3" s="29" t="s">
        <v>36</v>
      </c>
      <c r="B3" s="32" t="n">
        <v>25574992</v>
      </c>
      <c r="C3" s="32" t="n">
        <v>38155913</v>
      </c>
      <c r="D3" s="32" t="n">
        <v>66967440</v>
      </c>
      <c r="E3" s="32" t="n">
        <v>96872754</v>
      </c>
      <c r="F3" s="32" t="n">
        <v>140869593</v>
      </c>
      <c r="G3" s="32" t="n">
        <v>194754681</v>
      </c>
      <c r="H3" s="32" t="n">
        <v>277579421</v>
      </c>
      <c r="I3" s="32" t="n">
        <v>268717127</v>
      </c>
      <c r="J3" s="32" t="n">
        <v>290525760</v>
      </c>
      <c r="K3" s="32" t="n">
        <v>398856558</v>
      </c>
      <c r="L3" s="32" t="n">
        <v>535060038</v>
      </c>
      <c r="M3" s="32" t="n">
        <v>610714458</v>
      </c>
      <c r="N3" s="32" t="n">
        <v>648540628</v>
      </c>
      <c r="O3" s="32" t="n">
        <v>834988096</v>
      </c>
      <c r="P3" s="32" t="n">
        <v>923862453</v>
      </c>
      <c r="Q3" s="32" t="n">
        <v>1044419585</v>
      </c>
      <c r="R3" s="32" t="n">
        <v>1164976717</v>
      </c>
      <c r="S3" s="32" t="n">
        <v>1239456186</v>
      </c>
      <c r="T3" s="32" t="n">
        <v>1092728614</v>
      </c>
      <c r="U3" s="32" t="n">
        <v>1111961043</v>
      </c>
      <c r="V3" s="32" t="n">
        <v>1222325853</v>
      </c>
      <c r="W3" s="32" t="n">
        <v>1370668360</v>
      </c>
      <c r="X3" s="32" t="n">
        <v>1366732848</v>
      </c>
      <c r="Y3" s="32" t="n">
        <v>1587398991</v>
      </c>
    </row>
    <row r="4" customFormat="false" ht="15" hidden="false" customHeight="false" outlineLevel="0" collapsed="false">
      <c r="A4" s="31" t="s">
        <v>37</v>
      </c>
      <c r="B4" s="32" t="n">
        <v>48383887</v>
      </c>
      <c r="C4" s="32" t="n">
        <v>58269553</v>
      </c>
      <c r="D4" s="32" t="n">
        <v>75451425</v>
      </c>
      <c r="E4" s="32" t="n">
        <v>61469220</v>
      </c>
      <c r="F4" s="32" t="n">
        <v>60786775</v>
      </c>
      <c r="G4" s="32" t="n">
        <v>75780580</v>
      </c>
      <c r="H4" s="32" t="n">
        <v>84031258</v>
      </c>
      <c r="I4" s="32" t="n">
        <v>76152029</v>
      </c>
      <c r="J4" s="32" t="n">
        <v>67397698</v>
      </c>
      <c r="K4" s="32" t="n">
        <v>60045527</v>
      </c>
      <c r="L4" s="32" t="n">
        <v>62737692</v>
      </c>
      <c r="M4" s="32" t="n">
        <v>71203783</v>
      </c>
      <c r="N4" s="32" t="n">
        <v>58019189</v>
      </c>
      <c r="O4" s="32" t="n">
        <v>57058455</v>
      </c>
      <c r="P4" s="32" t="n">
        <v>60499396</v>
      </c>
      <c r="Q4" s="32" t="n">
        <v>60471571</v>
      </c>
      <c r="R4" s="32" t="n">
        <v>60443746</v>
      </c>
      <c r="S4" s="32" t="n">
        <v>59460867</v>
      </c>
      <c r="T4" s="32" t="n">
        <v>37455483</v>
      </c>
      <c r="U4" s="32" t="n">
        <v>41700372</v>
      </c>
      <c r="V4" s="32" t="n">
        <v>33469382</v>
      </c>
      <c r="W4" s="32" t="n">
        <v>30559598</v>
      </c>
      <c r="X4" s="32" t="n">
        <v>28457008</v>
      </c>
      <c r="Y4" s="32" t="n">
        <v>23490984</v>
      </c>
    </row>
    <row r="5" customFormat="false" ht="15" hidden="false" customHeight="false" outlineLevel="0" collapsed="false">
      <c r="A5" s="31" t="s">
        <v>38</v>
      </c>
      <c r="B5" s="32" t="n">
        <v>5089985</v>
      </c>
      <c r="C5" s="32" t="n">
        <v>5027708</v>
      </c>
      <c r="D5" s="32" t="n">
        <v>4068670</v>
      </c>
      <c r="E5" s="32" t="n">
        <v>6789252</v>
      </c>
      <c r="F5" s="32" t="n">
        <v>8294103</v>
      </c>
      <c r="G5" s="32" t="n">
        <v>7541258</v>
      </c>
      <c r="H5" s="32" t="n">
        <v>12964056</v>
      </c>
      <c r="I5" s="32" t="n">
        <v>7397810</v>
      </c>
      <c r="J5" s="32" t="n">
        <v>6489815</v>
      </c>
      <c r="K5" s="32" t="n">
        <v>8013500</v>
      </c>
      <c r="L5" s="32" t="n">
        <v>6571991</v>
      </c>
      <c r="M5" s="32" t="n">
        <v>9516197</v>
      </c>
      <c r="N5" s="32" t="n">
        <v>7813311</v>
      </c>
      <c r="O5" s="32" t="n">
        <v>7932402</v>
      </c>
      <c r="P5" s="32" t="n">
        <v>10754757</v>
      </c>
      <c r="Q5" s="32" t="n">
        <v>11918625.5</v>
      </c>
      <c r="R5" s="32" t="n">
        <v>13082494</v>
      </c>
      <c r="S5" s="32" t="n">
        <v>9565890</v>
      </c>
      <c r="T5" s="32" t="n">
        <v>10931848</v>
      </c>
      <c r="U5" s="32" t="n">
        <v>9141667</v>
      </c>
      <c r="V5" s="32" t="n">
        <v>14293436</v>
      </c>
      <c r="W5" s="32" t="n">
        <v>5831760</v>
      </c>
      <c r="X5" s="32" t="n">
        <v>7087694</v>
      </c>
      <c r="Y5" s="32" t="n">
        <v>6652928</v>
      </c>
    </row>
    <row r="6" customFormat="false" ht="15" hidden="false" customHeight="false" outlineLevel="0" collapsed="false">
      <c r="A6" s="31" t="s">
        <v>39</v>
      </c>
      <c r="B6" s="32" t="n">
        <v>6448794</v>
      </c>
      <c r="C6" s="32" t="n">
        <v>9838875</v>
      </c>
      <c r="D6" s="32" t="n">
        <v>12949958</v>
      </c>
      <c r="E6" s="32" t="n">
        <v>7789638</v>
      </c>
      <c r="F6" s="32" t="n">
        <v>10695367</v>
      </c>
      <c r="G6" s="32" t="n">
        <v>7616388</v>
      </c>
      <c r="H6" s="32" t="n">
        <v>10030510</v>
      </c>
      <c r="I6" s="32" t="n">
        <v>11264567</v>
      </c>
      <c r="J6" s="32" t="n">
        <v>13111590</v>
      </c>
      <c r="K6" s="32" t="n">
        <v>14692085</v>
      </c>
      <c r="L6" s="32" t="n">
        <v>16198587</v>
      </c>
      <c r="M6" s="32" t="n">
        <v>18657564</v>
      </c>
      <c r="N6" s="32" t="n">
        <v>22926480</v>
      </c>
      <c r="O6" s="32" t="n">
        <v>17852351</v>
      </c>
      <c r="P6" s="32" t="n">
        <v>19061360</v>
      </c>
      <c r="Q6" s="32" t="n">
        <v>16396259</v>
      </c>
      <c r="R6" s="32" t="n">
        <v>13731158</v>
      </c>
      <c r="S6" s="32" t="n">
        <v>12372838</v>
      </c>
      <c r="T6" s="32" t="n">
        <v>14678051</v>
      </c>
      <c r="U6" s="32" t="n">
        <v>13673963</v>
      </c>
      <c r="V6" s="32" t="n">
        <v>17908192</v>
      </c>
      <c r="W6" s="32" t="n">
        <v>18552434</v>
      </c>
      <c r="X6" s="32" t="n">
        <v>21892569</v>
      </c>
      <c r="Y6" s="32" t="n">
        <v>19469717</v>
      </c>
    </row>
    <row r="7" customFormat="false" ht="15" hidden="false" customHeight="false" outlineLevel="0" collapsed="false">
      <c r="A7" s="31" t="s">
        <v>40</v>
      </c>
      <c r="B7" s="32" t="n">
        <v>2695690</v>
      </c>
      <c r="C7" s="32" t="n">
        <v>3692201</v>
      </c>
      <c r="D7" s="32" t="n">
        <v>4509607</v>
      </c>
      <c r="E7" s="32" t="n">
        <v>5408939</v>
      </c>
      <c r="F7" s="32" t="n">
        <v>4767907</v>
      </c>
      <c r="G7" s="32" t="n">
        <v>6078351</v>
      </c>
      <c r="H7" s="32" t="n">
        <v>6259193</v>
      </c>
      <c r="I7" s="32" t="n">
        <v>2973269</v>
      </c>
      <c r="J7" s="32" t="n">
        <v>3821270</v>
      </c>
      <c r="K7" s="32" t="n">
        <v>4986075</v>
      </c>
      <c r="L7" s="32" t="n">
        <v>3913080</v>
      </c>
      <c r="M7" s="32" t="n">
        <v>3891787</v>
      </c>
      <c r="N7" s="32" t="n">
        <v>4091806</v>
      </c>
      <c r="O7" s="32" t="n">
        <v>5408322</v>
      </c>
      <c r="P7" s="32" t="n">
        <v>6424117</v>
      </c>
      <c r="Q7" s="32" t="n">
        <v>4714927.5</v>
      </c>
      <c r="R7" s="32" t="n">
        <v>3005738</v>
      </c>
      <c r="S7" s="32" t="n">
        <v>6608907</v>
      </c>
      <c r="T7" s="32" t="n">
        <v>4377521</v>
      </c>
      <c r="U7" s="32" t="n">
        <v>10280151</v>
      </c>
      <c r="V7" s="32" t="n">
        <v>5801557</v>
      </c>
      <c r="W7" s="32" t="n">
        <v>4893249</v>
      </c>
      <c r="X7" s="32" t="n">
        <v>4036826</v>
      </c>
      <c r="Y7" s="32" t="n">
        <v>5964461</v>
      </c>
    </row>
    <row r="8" customFormat="false" ht="15" hidden="false" customHeight="false" outlineLevel="0" collapsed="false">
      <c r="A8" s="31" t="s">
        <v>41</v>
      </c>
      <c r="B8" s="32" t="n">
        <v>17918798</v>
      </c>
      <c r="C8" s="32" t="n">
        <v>15940460</v>
      </c>
      <c r="D8" s="32" t="n">
        <v>17116188</v>
      </c>
      <c r="E8" s="32" t="n">
        <v>19720263</v>
      </c>
      <c r="F8" s="32" t="n">
        <v>20187667</v>
      </c>
      <c r="G8" s="32" t="n">
        <v>19734161</v>
      </c>
      <c r="H8" s="32" t="n">
        <v>24045380</v>
      </c>
      <c r="I8" s="32" t="n">
        <v>22467358</v>
      </c>
      <c r="J8" s="32" t="n">
        <v>18532568</v>
      </c>
      <c r="K8" s="32" t="n">
        <v>23998819</v>
      </c>
      <c r="L8" s="32" t="n">
        <v>28694870</v>
      </c>
      <c r="M8" s="32" t="n">
        <v>22783931</v>
      </c>
      <c r="N8" s="32" t="n">
        <v>19928900</v>
      </c>
      <c r="O8" s="32" t="n">
        <v>22829330</v>
      </c>
      <c r="P8" s="32" t="n">
        <v>22714317</v>
      </c>
      <c r="Q8" s="32" t="n">
        <v>19768743</v>
      </c>
      <c r="R8" s="32" t="n">
        <v>16823169</v>
      </c>
      <c r="S8" s="32" t="n">
        <v>17740676</v>
      </c>
      <c r="T8" s="32" t="n">
        <v>14188269</v>
      </c>
      <c r="U8" s="32" t="n">
        <v>12436012</v>
      </c>
      <c r="V8" s="32" t="n">
        <v>12520526</v>
      </c>
      <c r="W8" s="32" t="n">
        <v>10499183</v>
      </c>
      <c r="X8" s="32" t="n">
        <v>11591978</v>
      </c>
      <c r="Y8" s="32" t="n">
        <v>9700345</v>
      </c>
    </row>
    <row r="9" customFormat="false" ht="15" hidden="false" customHeight="false" outlineLevel="0" collapsed="false">
      <c r="A9" s="31" t="s">
        <v>42</v>
      </c>
      <c r="B9" s="32" t="n">
        <v>56974</v>
      </c>
      <c r="C9" s="32" t="n">
        <v>108658</v>
      </c>
      <c r="D9" s="32" t="n">
        <v>57330</v>
      </c>
      <c r="E9" s="32" t="n">
        <v>167222</v>
      </c>
      <c r="F9" s="32" t="n">
        <v>202122</v>
      </c>
      <c r="G9" s="32" t="n">
        <v>147021</v>
      </c>
      <c r="H9" s="32" t="n">
        <v>421453</v>
      </c>
      <c r="I9" s="32" t="n">
        <v>1355773</v>
      </c>
      <c r="J9" s="32" t="n">
        <v>2034393</v>
      </c>
      <c r="K9" s="32" t="n">
        <v>2205736</v>
      </c>
      <c r="L9" s="32" t="n">
        <v>4048685</v>
      </c>
      <c r="M9" s="32" t="n">
        <v>5556187</v>
      </c>
      <c r="N9" s="32" t="n">
        <v>5756967</v>
      </c>
      <c r="O9" s="32" t="n">
        <v>8496816</v>
      </c>
      <c r="P9" s="32" t="n">
        <v>9984222</v>
      </c>
      <c r="Q9" s="32" t="n">
        <v>11687833</v>
      </c>
      <c r="R9" s="32" t="n">
        <v>13391444</v>
      </c>
      <c r="S9" s="32" t="n">
        <v>19104325</v>
      </c>
      <c r="T9" s="32" t="n">
        <v>17931029</v>
      </c>
      <c r="U9" s="32" t="n">
        <v>14617570</v>
      </c>
      <c r="V9" s="32" t="n">
        <v>17733099</v>
      </c>
      <c r="W9" s="32" t="n">
        <v>18920852</v>
      </c>
      <c r="X9" s="32" t="n">
        <v>17113867</v>
      </c>
      <c r="Y9" s="32" t="n">
        <v>20768090</v>
      </c>
    </row>
    <row r="11" customFormat="false" ht="15" hidden="false" customHeight="false" outlineLevel="0" collapsed="false">
      <c r="A11" s="3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5" min="2" style="0" width="11"/>
  </cols>
  <sheetData>
    <row r="1" customFormat="false" ht="15" hidden="false" customHeight="false" outlineLevel="0" collapsed="false">
      <c r="A1" s="12" t="s">
        <v>49</v>
      </c>
      <c r="B1" s="13" t="n">
        <v>2002</v>
      </c>
      <c r="C1" s="13" t="n">
        <v>2003</v>
      </c>
      <c r="D1" s="13" t="n">
        <v>2004</v>
      </c>
      <c r="E1" s="13" t="n">
        <v>2005</v>
      </c>
      <c r="F1" s="13" t="n">
        <v>2006</v>
      </c>
      <c r="G1" s="13" t="n">
        <v>2007</v>
      </c>
      <c r="H1" s="13" t="n">
        <v>2008</v>
      </c>
      <c r="I1" s="13" t="n">
        <v>2009</v>
      </c>
      <c r="J1" s="13" t="n">
        <v>2010</v>
      </c>
      <c r="K1" s="13" t="n">
        <v>2011</v>
      </c>
      <c r="L1" s="13" t="n">
        <v>2012</v>
      </c>
      <c r="M1" s="13" t="n">
        <v>2013</v>
      </c>
      <c r="N1" s="13" t="n">
        <v>2014</v>
      </c>
      <c r="O1" s="13" t="n">
        <v>2015</v>
      </c>
      <c r="P1" s="13" t="n">
        <v>2016</v>
      </c>
      <c r="Q1" s="13" t="n">
        <v>2017</v>
      </c>
      <c r="R1" s="13" t="n">
        <v>2018</v>
      </c>
      <c r="S1" s="13" t="n">
        <v>2019</v>
      </c>
      <c r="T1" s="13" t="n">
        <v>2020</v>
      </c>
      <c r="U1" s="13" t="n">
        <v>2021</v>
      </c>
      <c r="V1" s="13" t="n">
        <v>2022</v>
      </c>
      <c r="W1" s="13" t="n">
        <v>2023</v>
      </c>
      <c r="X1" s="13" t="n">
        <v>2024</v>
      </c>
      <c r="Y1" s="13" t="n">
        <v>2025</v>
      </c>
    </row>
    <row r="2" customFormat="false" ht="15" hidden="false" customHeight="false" outlineLevel="0" collapsed="false">
      <c r="A2" s="31" t="s">
        <v>35</v>
      </c>
      <c r="B2" s="34" t="n">
        <v>699525297</v>
      </c>
      <c r="C2" s="34" t="n">
        <v>712852129</v>
      </c>
      <c r="D2" s="34" t="n">
        <v>714282439</v>
      </c>
      <c r="E2" s="34" t="n">
        <v>816086575</v>
      </c>
      <c r="F2" s="34" t="n">
        <v>806405708</v>
      </c>
      <c r="G2" s="34" t="n">
        <v>643937488</v>
      </c>
      <c r="H2" s="34" t="n">
        <v>612767951</v>
      </c>
      <c r="I2" s="34" t="n">
        <v>450111047</v>
      </c>
      <c r="J2" s="34" t="n">
        <v>485893815</v>
      </c>
      <c r="K2" s="34" t="n">
        <v>481555195</v>
      </c>
      <c r="L2" s="34" t="n">
        <v>590146928</v>
      </c>
      <c r="M2" s="34" t="n">
        <v>790941867</v>
      </c>
      <c r="N2" s="34" t="n">
        <v>752525055</v>
      </c>
      <c r="O2" s="34" t="n">
        <v>876339577</v>
      </c>
      <c r="P2" s="34" t="n">
        <v>898232358</v>
      </c>
      <c r="Q2" s="34" t="n">
        <v>1069900522</v>
      </c>
      <c r="R2" s="34" t="n">
        <v>1108018211</v>
      </c>
      <c r="S2" s="34" t="n">
        <v>1022047528</v>
      </c>
      <c r="T2" s="34" t="n">
        <v>830452511</v>
      </c>
      <c r="U2" s="34" t="n">
        <v>1036041288</v>
      </c>
      <c r="V2" s="34" t="n">
        <v>1077537473</v>
      </c>
      <c r="W2" s="34" t="n">
        <v>1167492536</v>
      </c>
      <c r="X2" s="34" t="n">
        <v>861349445</v>
      </c>
      <c r="Y2" s="34" t="n">
        <v>847925312</v>
      </c>
    </row>
    <row r="3" customFormat="false" ht="15" hidden="false" customHeight="false" outlineLevel="0" collapsed="false">
      <c r="A3" s="29" t="s">
        <v>36</v>
      </c>
      <c r="B3" s="34" t="n">
        <v>29879600</v>
      </c>
      <c r="C3" s="34" t="n">
        <v>40259173</v>
      </c>
      <c r="D3" s="34" t="n">
        <v>54417397</v>
      </c>
      <c r="E3" s="34" t="n">
        <v>79490233</v>
      </c>
      <c r="F3" s="34" t="n">
        <v>114999265</v>
      </c>
      <c r="G3" s="34" t="n">
        <v>154405673</v>
      </c>
      <c r="H3" s="34" t="n">
        <v>173185128</v>
      </c>
      <c r="I3" s="34" t="n">
        <v>145896185</v>
      </c>
      <c r="J3" s="34" t="n">
        <v>199886739</v>
      </c>
      <c r="K3" s="34" t="n">
        <v>253666552</v>
      </c>
      <c r="L3" s="34" t="n">
        <v>348863166</v>
      </c>
      <c r="M3" s="34" t="n">
        <v>374098446</v>
      </c>
      <c r="N3" s="34" t="n">
        <v>390700572</v>
      </c>
      <c r="O3" s="34" t="n">
        <v>470840955</v>
      </c>
      <c r="P3" s="34" t="n">
        <v>459629525</v>
      </c>
      <c r="Q3" s="34" t="n">
        <v>569272229</v>
      </c>
      <c r="R3" s="34" t="n">
        <v>599098208</v>
      </c>
      <c r="S3" s="34" t="n">
        <v>529885739</v>
      </c>
      <c r="T3" s="34" t="n">
        <v>402696976</v>
      </c>
      <c r="U3" s="34" t="n">
        <v>451202096</v>
      </c>
      <c r="V3" s="34" t="n">
        <v>440387246</v>
      </c>
      <c r="W3" s="34" t="n">
        <v>411787643</v>
      </c>
      <c r="X3" s="34" t="n">
        <v>363112963</v>
      </c>
      <c r="Y3" s="34" t="n">
        <v>352766466</v>
      </c>
    </row>
    <row r="4" customFormat="false" ht="15" hidden="false" customHeight="false" outlineLevel="0" collapsed="false">
      <c r="A4" s="31" t="s">
        <v>37</v>
      </c>
      <c r="B4" s="34" t="n">
        <v>277520549</v>
      </c>
      <c r="C4" s="34" t="n">
        <v>254392330</v>
      </c>
      <c r="D4" s="34" t="n">
        <v>297111353</v>
      </c>
      <c r="E4" s="34" t="n">
        <v>233693149</v>
      </c>
      <c r="F4" s="34" t="n">
        <v>291596653</v>
      </c>
      <c r="G4" s="34" t="n">
        <v>232114555</v>
      </c>
      <c r="H4" s="34" t="n">
        <v>230744497</v>
      </c>
      <c r="I4" s="34" t="n">
        <v>151237075</v>
      </c>
      <c r="J4" s="34" t="n">
        <v>165575374</v>
      </c>
      <c r="K4" s="34" t="n">
        <v>201600327</v>
      </c>
      <c r="L4" s="34" t="n">
        <v>280956734</v>
      </c>
      <c r="M4" s="34" t="n">
        <v>195329669</v>
      </c>
      <c r="N4" s="34" t="n">
        <v>192441310</v>
      </c>
      <c r="O4" s="34" t="n">
        <v>166110469</v>
      </c>
      <c r="P4" s="34" t="n">
        <v>240304081</v>
      </c>
      <c r="Q4" s="34" t="n">
        <v>214522132</v>
      </c>
      <c r="R4" s="34" t="n">
        <v>214841805</v>
      </c>
      <c r="S4" s="34" t="n">
        <v>193310884</v>
      </c>
      <c r="T4" s="34" t="n">
        <v>168458965</v>
      </c>
      <c r="U4" s="34" t="n">
        <v>161389402</v>
      </c>
      <c r="V4" s="34" t="n">
        <v>166901790</v>
      </c>
      <c r="W4" s="34" t="n">
        <v>100912633</v>
      </c>
      <c r="X4" s="34" t="n">
        <v>124666192</v>
      </c>
      <c r="Y4" s="34" t="n">
        <v>133035956</v>
      </c>
    </row>
    <row r="5" customFormat="false" ht="15" hidden="false" customHeight="false" outlineLevel="0" collapsed="false">
      <c r="A5" s="31" t="s">
        <v>38</v>
      </c>
      <c r="B5" s="34" t="n">
        <v>1902057</v>
      </c>
      <c r="C5" s="34" t="n">
        <v>2077837</v>
      </c>
      <c r="D5" s="34" t="n">
        <v>2141894</v>
      </c>
      <c r="E5" s="34" t="n">
        <v>1990860</v>
      </c>
      <c r="F5" s="34" t="n">
        <v>2746866</v>
      </c>
      <c r="G5" s="34" t="n">
        <v>2855524</v>
      </c>
      <c r="H5" s="34" t="n">
        <v>4065699</v>
      </c>
      <c r="I5" s="34" t="n">
        <v>2123453</v>
      </c>
      <c r="J5" s="34" t="n">
        <v>2613012</v>
      </c>
      <c r="K5" s="34" t="n">
        <v>2078405</v>
      </c>
      <c r="L5" s="34" t="n">
        <v>3134390</v>
      </c>
      <c r="M5" s="34" t="n">
        <v>2479987</v>
      </c>
      <c r="N5" s="34" t="n">
        <v>3640702</v>
      </c>
      <c r="O5" s="34" t="n">
        <v>3119339</v>
      </c>
      <c r="P5" s="34" t="n">
        <v>2886323</v>
      </c>
      <c r="Q5" s="34" t="n">
        <v>3533798</v>
      </c>
      <c r="R5" s="34" t="n">
        <v>2501611</v>
      </c>
      <c r="S5" s="34" t="n">
        <v>4182633</v>
      </c>
      <c r="T5" s="34" t="n">
        <v>3729844</v>
      </c>
      <c r="U5" s="34" t="n">
        <v>4920458</v>
      </c>
      <c r="V5" s="34" t="n">
        <v>6805013</v>
      </c>
      <c r="W5" s="34" t="n">
        <v>6982079</v>
      </c>
      <c r="X5" s="34" t="n">
        <v>9022971</v>
      </c>
      <c r="Y5" s="34" t="n">
        <v>10642976</v>
      </c>
    </row>
    <row r="6" customFormat="false" ht="15" hidden="false" customHeight="false" outlineLevel="0" collapsed="false">
      <c r="A6" s="31" t="s">
        <v>39</v>
      </c>
      <c r="B6" s="34" t="n">
        <v>7373473</v>
      </c>
      <c r="C6" s="34" t="n">
        <v>6012283</v>
      </c>
      <c r="D6" s="34" t="n">
        <v>6409516</v>
      </c>
      <c r="E6" s="34" t="n">
        <v>6316301</v>
      </c>
      <c r="F6" s="34" t="n">
        <v>8353503</v>
      </c>
      <c r="G6" s="34" t="n">
        <v>8278676</v>
      </c>
      <c r="H6" s="34" t="n">
        <v>8894656</v>
      </c>
      <c r="I6" s="34" t="n">
        <v>5214190</v>
      </c>
      <c r="J6" s="34" t="n">
        <v>3935093</v>
      </c>
      <c r="K6" s="34" t="n">
        <v>7022025</v>
      </c>
      <c r="L6" s="34" t="n">
        <v>8304145</v>
      </c>
      <c r="M6" s="34" t="n">
        <v>5929432</v>
      </c>
      <c r="N6" s="34" t="n">
        <v>6773505</v>
      </c>
      <c r="O6" s="34" t="n">
        <v>9679541</v>
      </c>
      <c r="P6" s="34" t="n">
        <v>9486775</v>
      </c>
      <c r="Q6" s="34" t="n">
        <v>9204075</v>
      </c>
      <c r="R6" s="34" t="n">
        <v>6938719</v>
      </c>
      <c r="S6" s="34" t="n">
        <v>8007060</v>
      </c>
      <c r="T6" s="34" t="n">
        <v>9003908</v>
      </c>
      <c r="U6" s="34" t="n">
        <v>9086250</v>
      </c>
      <c r="V6" s="34" t="n">
        <v>6062330</v>
      </c>
      <c r="W6" s="34" t="n">
        <v>10487425</v>
      </c>
      <c r="X6" s="34" t="n">
        <v>8178460</v>
      </c>
      <c r="Y6" s="34" t="n">
        <v>8085336</v>
      </c>
    </row>
    <row r="7" customFormat="false" ht="15" hidden="false" customHeight="false" outlineLevel="0" collapsed="false">
      <c r="A7" s="31" t="s">
        <v>40</v>
      </c>
      <c r="B7" s="34" t="n">
        <v>1272802</v>
      </c>
      <c r="C7" s="34" t="n">
        <v>1706528</v>
      </c>
      <c r="D7" s="34" t="n">
        <v>3197885</v>
      </c>
      <c r="E7" s="34" t="n">
        <v>1344742</v>
      </c>
      <c r="F7" s="34" t="n">
        <v>3700729</v>
      </c>
      <c r="G7" s="34" t="n">
        <v>4972239</v>
      </c>
      <c r="H7" s="34" t="n">
        <v>5724782</v>
      </c>
      <c r="I7" s="34" t="n">
        <v>3143317</v>
      </c>
      <c r="J7" s="34" t="n">
        <v>4041225</v>
      </c>
      <c r="K7" s="34" t="n">
        <v>5459243</v>
      </c>
      <c r="L7" s="34" t="n">
        <v>6764825</v>
      </c>
      <c r="M7" s="34" t="n">
        <v>4676572</v>
      </c>
      <c r="N7" s="34" t="n">
        <v>5353391</v>
      </c>
      <c r="O7" s="34" t="n">
        <v>4071083</v>
      </c>
      <c r="P7" s="34" t="n">
        <v>4655035</v>
      </c>
      <c r="Q7" s="34" t="n">
        <v>5063633</v>
      </c>
      <c r="R7" s="34" t="n">
        <v>3845733</v>
      </c>
      <c r="S7" s="34" t="n">
        <v>7164773</v>
      </c>
      <c r="T7" s="34" t="n">
        <v>29536927</v>
      </c>
      <c r="U7" s="34" t="n">
        <v>39293170</v>
      </c>
      <c r="V7" s="34" t="n">
        <v>46514646</v>
      </c>
      <c r="W7" s="34" t="n">
        <v>45059548</v>
      </c>
      <c r="X7" s="34" t="n">
        <v>43451105</v>
      </c>
      <c r="Y7" s="34" t="n">
        <v>44930058</v>
      </c>
    </row>
    <row r="8" customFormat="false" ht="15" hidden="false" customHeight="false" outlineLevel="0" collapsed="false">
      <c r="A8" s="31" t="s">
        <v>41</v>
      </c>
      <c r="B8" s="34" t="n">
        <v>35961086</v>
      </c>
      <c r="C8" s="34" t="n">
        <v>47049368</v>
      </c>
      <c r="D8" s="34" t="n">
        <v>47996448</v>
      </c>
      <c r="E8" s="34" t="n">
        <v>54791179</v>
      </c>
      <c r="F8" s="34" t="n">
        <v>55451607</v>
      </c>
      <c r="G8" s="34" t="n">
        <v>39792621</v>
      </c>
      <c r="H8" s="34" t="n">
        <v>42433228</v>
      </c>
      <c r="I8" s="34" t="n">
        <v>27978009</v>
      </c>
      <c r="J8" s="34" t="n">
        <v>30168154</v>
      </c>
      <c r="K8" s="34" t="n">
        <v>37403598</v>
      </c>
      <c r="L8" s="34" t="n">
        <v>39904116</v>
      </c>
      <c r="M8" s="34" t="n">
        <v>44625070</v>
      </c>
      <c r="N8" s="34" t="n">
        <v>47148556</v>
      </c>
      <c r="O8" s="34" t="n">
        <v>47266929</v>
      </c>
      <c r="P8" s="34" t="n">
        <v>45441322</v>
      </c>
      <c r="Q8" s="34" t="n">
        <v>48909040</v>
      </c>
      <c r="R8" s="34" t="n">
        <v>44744275</v>
      </c>
      <c r="S8" s="34" t="n">
        <v>49597259</v>
      </c>
      <c r="T8" s="34" t="n">
        <v>46687121</v>
      </c>
      <c r="U8" s="34" t="n">
        <v>46371491</v>
      </c>
      <c r="V8" s="34" t="n">
        <v>55169895</v>
      </c>
      <c r="W8" s="34" t="n">
        <v>37998030</v>
      </c>
      <c r="X8" s="34" t="n">
        <v>42328848</v>
      </c>
      <c r="Y8" s="34" t="n">
        <v>38822567</v>
      </c>
    </row>
    <row r="9" customFormat="false" ht="15" hidden="false" customHeight="false" outlineLevel="0" collapsed="false">
      <c r="A9" s="31" t="s">
        <v>42</v>
      </c>
      <c r="B9" s="34" t="n">
        <v>15723</v>
      </c>
      <c r="C9" s="34" t="n">
        <v>9250</v>
      </c>
      <c r="D9" s="34" t="n">
        <v>3290</v>
      </c>
      <c r="E9" s="34" t="n">
        <v>37630</v>
      </c>
      <c r="F9" s="34" t="n">
        <v>16500</v>
      </c>
      <c r="G9" s="34" t="n">
        <v>101032</v>
      </c>
      <c r="H9" s="34" t="n">
        <v>435611</v>
      </c>
      <c r="I9" s="34" t="n">
        <v>331653</v>
      </c>
      <c r="J9" s="34" t="n">
        <v>197786</v>
      </c>
      <c r="K9" s="34" t="n">
        <v>247603</v>
      </c>
      <c r="L9" s="34" t="n">
        <v>478564</v>
      </c>
      <c r="M9" s="34" t="n">
        <v>710697</v>
      </c>
      <c r="N9" s="34" t="n">
        <v>692172</v>
      </c>
      <c r="O9" s="34" t="n">
        <v>1205463</v>
      </c>
      <c r="P9" s="34" t="n">
        <v>1455265</v>
      </c>
      <c r="Q9" s="34" t="n">
        <v>1176309</v>
      </c>
      <c r="R9" s="34" t="n">
        <v>1815638</v>
      </c>
      <c r="S9" s="34" t="n">
        <v>2429126</v>
      </c>
      <c r="T9" s="34" t="n">
        <v>3554000</v>
      </c>
      <c r="U9" s="34" t="n">
        <v>3702875</v>
      </c>
      <c r="V9" s="34" t="n">
        <v>3818105</v>
      </c>
      <c r="W9" s="34" t="n">
        <v>5077914</v>
      </c>
      <c r="X9" s="34" t="n">
        <v>5652647</v>
      </c>
      <c r="Y9" s="34" t="n">
        <v>7459776</v>
      </c>
    </row>
    <row r="11" customFormat="false" ht="15" hidden="false" customHeight="false" outlineLevel="0" collapsed="false">
      <c r="A11" s="3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2026-07-01T14:27:47Z</dcterms:created>
  <dc:creator>openpyxl</dc:creator>
  <dc:description/>
  <dc:language>en-US</dc:language>
  <cp:lastModifiedBy/>
  <dcterms:modified xsi:type="dcterms:W3CDTF">2026-07-01T14:28:39Z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