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ng\Desktop\Ji project\Market Study\"/>
    </mc:Choice>
  </mc:AlternateContent>
  <xr:revisionPtr revIDLastSave="0" documentId="13_ncr:1_{076C5811-982A-4B45-BB9D-C967C0AE8184}" xr6:coauthVersionLast="47" xr6:coauthVersionMax="47" xr10:uidLastSave="{00000000-0000-0000-0000-000000000000}"/>
  <bookViews>
    <workbookView xWindow="-98" yWindow="-98" windowWidth="21795" windowHeight="12975" activeTab="4" xr2:uid="{45AF0994-905B-43ED-B146-C6BE4B3F8FED}"/>
  </bookViews>
  <sheets>
    <sheet name="HS8480 - all mold" sheetId="3" r:id="rId1"/>
    <sheet name="HS8480.71 - Rubber&amp;Plastic Mold" sheetId="4" r:id="rId2"/>
    <sheet name="Summary" sheetId="7" r:id="rId3"/>
    <sheet name="Analysis" sheetId="5" r:id="rId4"/>
    <sheet name="China+1_Analysis" sheetId="10" r:id="rId5"/>
    <sheet name="Momentum_AllMoulds" sheetId="9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0" l="1"/>
  <c r="E20" i="10"/>
  <c r="G20" i="10" s="1"/>
  <c r="D20" i="10"/>
  <c r="C20" i="10"/>
  <c r="B20" i="10"/>
  <c r="F19" i="10"/>
  <c r="E19" i="10"/>
  <c r="G19" i="10" s="1"/>
  <c r="D19" i="10"/>
  <c r="C19" i="10"/>
  <c r="B19" i="10"/>
  <c r="G18" i="10"/>
  <c r="F18" i="10"/>
  <c r="E18" i="10"/>
  <c r="D18" i="10"/>
  <c r="C18" i="10"/>
  <c r="B18" i="10"/>
  <c r="F17" i="10"/>
  <c r="E17" i="10"/>
  <c r="G17" i="10" s="1"/>
  <c r="D17" i="10"/>
  <c r="C17" i="10"/>
  <c r="B17" i="10"/>
  <c r="F16" i="10"/>
  <c r="E16" i="10"/>
  <c r="G16" i="10" s="1"/>
  <c r="D16" i="10"/>
  <c r="C16" i="10"/>
  <c r="B16" i="10"/>
  <c r="F15" i="10"/>
  <c r="E15" i="10"/>
  <c r="G15" i="10" s="1"/>
  <c r="D15" i="10"/>
  <c r="C15" i="10"/>
  <c r="B15" i="10"/>
  <c r="Y9" i="10"/>
  <c r="Y10" i="10" s="1"/>
  <c r="X9" i="10"/>
  <c r="X10" i="10" s="1"/>
  <c r="W9" i="10"/>
  <c r="W10" i="10" s="1"/>
  <c r="V9" i="10"/>
  <c r="V10" i="10" s="1"/>
  <c r="U9" i="10"/>
  <c r="U10" i="10" s="1"/>
  <c r="T9" i="10"/>
  <c r="T10" i="10" s="1"/>
  <c r="S9" i="10"/>
  <c r="S10" i="10" s="1"/>
  <c r="R9" i="10"/>
  <c r="R10" i="10" s="1"/>
  <c r="Q9" i="10"/>
  <c r="Q10" i="10" s="1"/>
  <c r="P9" i="10"/>
  <c r="P10" i="10" s="1"/>
  <c r="O9" i="10"/>
  <c r="O10" i="10" s="1"/>
  <c r="N9" i="10"/>
  <c r="N10" i="10" s="1"/>
  <c r="M9" i="10"/>
  <c r="M10" i="10" s="1"/>
  <c r="L9" i="10"/>
  <c r="L10" i="10" s="1"/>
  <c r="K9" i="10"/>
  <c r="K10" i="10" s="1"/>
  <c r="J9" i="10"/>
  <c r="J10" i="10" s="1"/>
  <c r="I9" i="10"/>
  <c r="I10" i="10" s="1"/>
  <c r="H9" i="10"/>
  <c r="H10" i="10" s="1"/>
  <c r="G9" i="10"/>
  <c r="G10" i="10" s="1"/>
  <c r="F9" i="10"/>
  <c r="F10" i="10" s="1"/>
  <c r="E9" i="10"/>
  <c r="E10" i="10" s="1"/>
  <c r="D9" i="10"/>
  <c r="D10" i="10" s="1"/>
  <c r="C9" i="10"/>
  <c r="C10" i="10" s="1"/>
  <c r="B9" i="10"/>
  <c r="B10" i="10" s="1"/>
  <c r="Y6" i="10"/>
  <c r="Y8" i="10" s="1"/>
  <c r="X6" i="10"/>
  <c r="X8" i="10" s="1"/>
  <c r="W6" i="10"/>
  <c r="W8" i="10" s="1"/>
  <c r="V6" i="10"/>
  <c r="V8" i="10" s="1"/>
  <c r="U6" i="10"/>
  <c r="U8" i="10" s="1"/>
  <c r="T6" i="10"/>
  <c r="T8" i="10" s="1"/>
  <c r="S6" i="10"/>
  <c r="S8" i="10" s="1"/>
  <c r="R6" i="10"/>
  <c r="R8" i="10" s="1"/>
  <c r="Q6" i="10"/>
  <c r="Q8" i="10" s="1"/>
  <c r="P6" i="10"/>
  <c r="P8" i="10" s="1"/>
  <c r="O6" i="10"/>
  <c r="O8" i="10" s="1"/>
  <c r="N6" i="10"/>
  <c r="N8" i="10" s="1"/>
  <c r="M6" i="10"/>
  <c r="M8" i="10" s="1"/>
  <c r="L6" i="10"/>
  <c r="L8" i="10" s="1"/>
  <c r="K6" i="10"/>
  <c r="K8" i="10" s="1"/>
  <c r="J6" i="10"/>
  <c r="J8" i="10" s="1"/>
  <c r="I6" i="10"/>
  <c r="I7" i="10" s="1"/>
  <c r="H6" i="10"/>
  <c r="H8" i="10" s="1"/>
  <c r="G6" i="10"/>
  <c r="G8" i="10" s="1"/>
  <c r="F6" i="10"/>
  <c r="F8" i="10" s="1"/>
  <c r="E6" i="10"/>
  <c r="E8" i="10" s="1"/>
  <c r="D6" i="10"/>
  <c r="D8" i="10" s="1"/>
  <c r="C6" i="10"/>
  <c r="C8" i="10" s="1"/>
  <c r="B6" i="10"/>
  <c r="B8" i="10" s="1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D30" i="9"/>
  <c r="G30" i="9" s="1"/>
  <c r="C30" i="9"/>
  <c r="B30" i="9"/>
  <c r="G29" i="9"/>
  <c r="F29" i="9"/>
  <c r="D29" i="9"/>
  <c r="E29" i="9" s="1"/>
  <c r="C29" i="9"/>
  <c r="B29" i="9"/>
  <c r="D28" i="9"/>
  <c r="G28" i="9" s="1"/>
  <c r="C28" i="9"/>
  <c r="B28" i="9"/>
  <c r="D27" i="9"/>
  <c r="G27" i="9" s="1"/>
  <c r="C27" i="9"/>
  <c r="B27" i="9"/>
  <c r="D26" i="9"/>
  <c r="G26" i="9" s="1"/>
  <c r="C26" i="9"/>
  <c r="B26" i="9"/>
  <c r="E26" i="9" s="1"/>
  <c r="G25" i="9"/>
  <c r="F25" i="9"/>
  <c r="D25" i="9"/>
  <c r="E25" i="9" s="1"/>
  <c r="C25" i="9"/>
  <c r="B25" i="9"/>
  <c r="D24" i="9"/>
  <c r="E24" i="9" s="1"/>
  <c r="C24" i="9"/>
  <c r="B24" i="9"/>
  <c r="D23" i="9"/>
  <c r="G23" i="9" s="1"/>
  <c r="C23" i="9"/>
  <c r="B23" i="9"/>
  <c r="D22" i="9"/>
  <c r="G22" i="9" s="1"/>
  <c r="C22" i="9"/>
  <c r="B22" i="9"/>
  <c r="E22" i="9" s="1"/>
  <c r="G21" i="9"/>
  <c r="F21" i="9"/>
  <c r="D21" i="9"/>
  <c r="E21" i="9" s="1"/>
  <c r="C21" i="9"/>
  <c r="B21" i="9"/>
  <c r="D20" i="9"/>
  <c r="E20" i="9" s="1"/>
  <c r="C20" i="9"/>
  <c r="B20" i="9"/>
  <c r="D19" i="9"/>
  <c r="G19" i="9" s="1"/>
  <c r="C19" i="9"/>
  <c r="B19" i="9"/>
  <c r="D18" i="9"/>
  <c r="G18" i="9" s="1"/>
  <c r="C18" i="9"/>
  <c r="B18" i="9"/>
  <c r="G17" i="9"/>
  <c r="F17" i="9"/>
  <c r="D17" i="9"/>
  <c r="E17" i="9" s="1"/>
  <c r="C17" i="9"/>
  <c r="B17" i="9"/>
  <c r="D16" i="9"/>
  <c r="G16" i="9" s="1"/>
  <c r="C16" i="9"/>
  <c r="B16" i="9"/>
  <c r="D15" i="9"/>
  <c r="G15" i="9" s="1"/>
  <c r="C15" i="9"/>
  <c r="B15" i="9"/>
  <c r="D14" i="9"/>
  <c r="G14" i="9" s="1"/>
  <c r="C14" i="9"/>
  <c r="B14" i="9"/>
  <c r="G13" i="9"/>
  <c r="F13" i="9"/>
  <c r="D13" i="9"/>
  <c r="E13" i="9" s="1"/>
  <c r="C13" i="9"/>
  <c r="B13" i="9"/>
  <c r="D12" i="9"/>
  <c r="G12" i="9" s="1"/>
  <c r="C12" i="9"/>
  <c r="B12" i="9"/>
  <c r="D11" i="9"/>
  <c r="G11" i="9" s="1"/>
  <c r="C11" i="9"/>
  <c r="B11" i="9"/>
  <c r="D10" i="9"/>
  <c r="G10" i="9" s="1"/>
  <c r="C10" i="9"/>
  <c r="B10" i="9"/>
  <c r="G9" i="9"/>
  <c r="F9" i="9"/>
  <c r="D9" i="9"/>
  <c r="E9" i="9" s="1"/>
  <c r="C9" i="9"/>
  <c r="B9" i="9"/>
  <c r="D8" i="9"/>
  <c r="G8" i="9" s="1"/>
  <c r="C8" i="9"/>
  <c r="B8" i="9"/>
  <c r="D7" i="9"/>
  <c r="G7" i="9" s="1"/>
  <c r="C7" i="9"/>
  <c r="B7" i="9"/>
  <c r="D6" i="9"/>
  <c r="G6" i="9" s="1"/>
  <c r="C6" i="9"/>
  <c r="B6" i="9"/>
  <c r="G5" i="9"/>
  <c r="F5" i="9"/>
  <c r="D5" i="9"/>
  <c r="E5" i="9" s="1"/>
  <c r="C5" i="9"/>
  <c r="B5" i="9"/>
  <c r="F15" i="7"/>
  <c r="D15" i="7"/>
  <c r="F14" i="7"/>
  <c r="D14" i="7"/>
  <c r="F13" i="7"/>
  <c r="D13" i="7"/>
  <c r="F12" i="7"/>
  <c r="D12" i="7"/>
  <c r="F11" i="7"/>
  <c r="D11" i="7"/>
  <c r="F10" i="7"/>
  <c r="D10" i="7"/>
  <c r="F9" i="7"/>
  <c r="D9" i="7"/>
  <c r="F8" i="7"/>
  <c r="D8" i="7"/>
  <c r="F7" i="7"/>
  <c r="D7" i="7"/>
  <c r="F6" i="7"/>
  <c r="D6" i="7"/>
  <c r="Z6" i="4"/>
  <c r="Z39" i="4"/>
  <c r="Z95" i="4"/>
  <c r="Z110" i="4"/>
  <c r="Z111" i="4"/>
  <c r="Z112" i="4"/>
  <c r="Z41" i="4"/>
  <c r="Z104" i="4"/>
  <c r="Z113" i="4"/>
  <c r="Z114" i="4"/>
  <c r="Z115" i="4"/>
  <c r="Z99" i="4"/>
  <c r="Z116" i="4"/>
  <c r="Z78" i="4"/>
  <c r="Z65" i="4"/>
  <c r="Z117" i="4"/>
  <c r="Z118" i="4"/>
  <c r="Z25" i="4"/>
  <c r="Z119" i="4"/>
  <c r="Z106" i="4"/>
  <c r="Z26" i="4"/>
  <c r="Z93" i="4"/>
  <c r="Z77" i="4"/>
  <c r="Z66" i="4"/>
  <c r="Z7" i="4"/>
  <c r="Z120" i="4"/>
  <c r="Z121" i="4"/>
  <c r="Z122" i="4"/>
  <c r="Z123" i="4"/>
  <c r="Z8" i="4"/>
  <c r="Z24" i="4"/>
  <c r="Z60" i="4"/>
  <c r="Z124" i="4"/>
  <c r="Z10" i="4"/>
  <c r="Z125" i="4"/>
  <c r="Z12" i="4"/>
  <c r="Z87" i="4"/>
  <c r="Z82" i="4"/>
  <c r="Z34" i="4"/>
  <c r="Z126" i="4"/>
  <c r="Z127" i="4"/>
  <c r="Z69" i="4"/>
  <c r="Z22" i="4"/>
  <c r="Z79" i="4"/>
  <c r="Z13" i="4"/>
  <c r="Z30" i="4"/>
  <c r="Z105" i="4"/>
  <c r="Z42" i="4"/>
  <c r="Z28" i="4"/>
  <c r="Z29" i="4"/>
  <c r="Z128" i="4"/>
  <c r="Z129" i="4"/>
  <c r="Z130" i="4"/>
  <c r="Z131" i="4"/>
  <c r="Z132" i="4"/>
  <c r="Z133" i="4"/>
  <c r="Z134" i="4"/>
  <c r="Z135" i="4"/>
  <c r="Z136" i="4"/>
  <c r="Z96" i="4"/>
  <c r="Z89" i="4"/>
  <c r="Z54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9" i="4"/>
  <c r="Z149" i="4"/>
  <c r="Z150" i="4"/>
  <c r="Z151" i="4"/>
  <c r="Z16" i="4"/>
  <c r="Z152" i="4"/>
  <c r="Z51" i="4"/>
  <c r="Z33" i="4"/>
  <c r="Z84" i="4"/>
  <c r="Z57" i="4"/>
  <c r="Z91" i="4"/>
  <c r="Z76" i="4"/>
  <c r="Z27" i="4"/>
  <c r="Z153" i="4"/>
  <c r="Z31" i="4"/>
  <c r="Z56" i="4"/>
  <c r="Z154" i="4"/>
  <c r="Z43" i="4"/>
  <c r="Z19" i="4"/>
  <c r="Z103" i="4"/>
  <c r="Z11" i="4"/>
  <c r="Z155" i="4"/>
  <c r="Z80" i="4"/>
  <c r="Z38" i="4"/>
  <c r="Z92" i="4"/>
  <c r="Z44" i="4"/>
  <c r="Z14" i="4"/>
  <c r="Z156" i="4"/>
  <c r="Z98" i="4"/>
  <c r="Z97" i="4"/>
  <c r="Z75" i="4"/>
  <c r="Z157" i="4"/>
  <c r="Z73" i="4"/>
  <c r="Z37" i="4"/>
  <c r="Z158" i="4"/>
  <c r="Z101" i="4"/>
  <c r="Z63" i="4"/>
  <c r="Z90" i="4"/>
  <c r="Z86" i="4"/>
  <c r="Z20" i="4"/>
  <c r="Z62" i="4"/>
  <c r="Z48" i="4"/>
  <c r="Z15" i="4"/>
  <c r="Z55" i="4"/>
  <c r="Z59" i="4"/>
  <c r="Z159" i="4"/>
  <c r="Z85" i="4"/>
  <c r="Z160" i="4"/>
  <c r="Z161" i="4"/>
  <c r="Z47" i="4"/>
  <c r="Z49" i="4"/>
  <c r="Z23" i="4"/>
  <c r="Z162" i="4"/>
  <c r="Z40" i="4"/>
  <c r="Z17" i="4"/>
  <c r="Z163" i="4"/>
  <c r="Z45" i="4"/>
  <c r="Z164" i="4"/>
  <c r="Z52" i="4"/>
  <c r="Z165" i="4"/>
  <c r="Z21" i="4"/>
  <c r="Z166" i="4"/>
  <c r="Z167" i="4"/>
  <c r="Z168" i="4"/>
  <c r="Z4" i="4"/>
  <c r="Z5" i="4"/>
  <c r="Z169" i="4"/>
  <c r="Z18" i="4"/>
  <c r="Z170" i="4"/>
  <c r="Z32" i="4"/>
  <c r="Z46" i="4"/>
  <c r="Z171" i="4"/>
  <c r="Z108" i="4"/>
  <c r="Z172" i="4"/>
  <c r="Z173" i="4"/>
  <c r="Z174" i="4"/>
  <c r="Z175" i="4"/>
  <c r="Z176" i="4"/>
  <c r="Z107" i="4"/>
  <c r="Z177" i="4"/>
  <c r="Z50" i="4"/>
  <c r="Z178" i="4"/>
  <c r="Z179" i="4"/>
  <c r="Z180" i="4"/>
  <c r="Z53" i="4"/>
  <c r="Z83" i="4"/>
  <c r="Z181" i="4"/>
  <c r="Z109" i="4"/>
  <c r="Z88" i="4"/>
  <c r="Z182" i="4"/>
  <c r="Z72" i="4"/>
  <c r="Z94" i="4"/>
  <c r="Z183" i="4"/>
  <c r="Z184" i="4"/>
  <c r="Z185" i="4"/>
  <c r="Z186" i="4"/>
  <c r="Z81" i="4"/>
  <c r="Z187" i="4"/>
  <c r="Z188" i="4"/>
  <c r="Z189" i="4"/>
  <c r="Z190" i="4"/>
  <c r="Z100" i="4"/>
  <c r="Z191" i="4"/>
  <c r="Z35" i="4"/>
  <c r="Z61" i="4"/>
  <c r="Z192" i="4"/>
  <c r="Z36" i="4"/>
  <c r="Z58" i="4"/>
  <c r="Z67" i="4"/>
  <c r="Z68" i="4"/>
  <c r="Z193" i="4"/>
  <c r="Z194" i="4"/>
  <c r="Z195" i="4"/>
  <c r="Z102" i="4"/>
  <c r="Z74" i="4"/>
  <c r="Z70" i="4"/>
  <c r="Z71" i="4"/>
  <c r="Z64" i="4"/>
  <c r="Z3" i="4"/>
  <c r="Z6" i="3"/>
  <c r="Z61" i="3"/>
  <c r="Z9" i="3"/>
  <c r="Z49" i="3"/>
  <c r="Z80" i="3"/>
  <c r="Z53" i="3"/>
  <c r="Z66" i="3"/>
  <c r="Z23" i="3"/>
  <c r="Z24" i="3"/>
  <c r="Z74" i="3"/>
  <c r="Z70" i="3"/>
  <c r="Z10" i="3"/>
  <c r="Z12" i="3"/>
  <c r="Z63" i="3"/>
  <c r="Z37" i="3"/>
  <c r="Z14" i="3"/>
  <c r="Z15" i="3"/>
  <c r="Z31" i="3"/>
  <c r="Z71" i="3"/>
  <c r="Z34" i="3"/>
  <c r="Z21" i="3"/>
  <c r="Z20" i="3"/>
  <c r="Z35" i="3"/>
  <c r="Z48" i="3"/>
  <c r="Z50" i="3"/>
  <c r="Z67" i="3"/>
  <c r="Z11" i="3"/>
  <c r="Z19" i="3"/>
  <c r="Z78" i="3"/>
  <c r="Z40" i="3"/>
  <c r="Z56" i="3"/>
  <c r="Z29" i="3"/>
  <c r="Z32" i="3"/>
  <c r="Z38" i="3"/>
  <c r="Z60" i="3"/>
  <c r="Z52" i="3"/>
  <c r="Z27" i="3"/>
  <c r="Z13" i="3"/>
  <c r="Z73" i="3"/>
  <c r="Z47" i="3"/>
  <c r="Z81" i="3"/>
  <c r="Z54" i="3"/>
  <c r="Z16" i="3"/>
  <c r="Z79" i="3"/>
  <c r="Z42" i="3"/>
  <c r="Z82" i="3"/>
  <c r="Z76" i="3"/>
  <c r="Z77" i="3"/>
  <c r="Z17" i="3"/>
  <c r="Z55" i="3"/>
  <c r="Z30" i="3"/>
  <c r="Z22" i="3"/>
  <c r="Z45" i="3"/>
  <c r="Z68" i="3"/>
  <c r="Z64" i="3"/>
  <c r="Z44" i="3"/>
  <c r="Z28" i="3"/>
  <c r="Z46" i="3"/>
  <c r="Z25" i="3"/>
  <c r="Z39" i="3"/>
  <c r="Z59" i="3"/>
  <c r="Z26" i="3"/>
  <c r="Z7" i="3"/>
  <c r="Z8" i="3"/>
  <c r="Z18" i="3"/>
  <c r="Z33" i="3"/>
  <c r="Z51" i="3"/>
  <c r="Z62" i="3"/>
  <c r="Z57" i="3"/>
  <c r="Z36" i="3"/>
  <c r="Z65" i="3"/>
  <c r="Z43" i="3"/>
  <c r="Z69" i="3"/>
  <c r="Z41" i="3"/>
  <c r="Z75" i="3"/>
  <c r="Z72" i="3"/>
  <c r="Z58" i="3"/>
  <c r="F7" i="10" l="1"/>
  <c r="N7" i="10"/>
  <c r="V7" i="10"/>
  <c r="G7" i="10"/>
  <c r="O7" i="10"/>
  <c r="W7" i="10"/>
  <c r="H7" i="10"/>
  <c r="P7" i="10"/>
  <c r="X7" i="10"/>
  <c r="Q7" i="10"/>
  <c r="Y7" i="10"/>
  <c r="I8" i="10"/>
  <c r="B7" i="10"/>
  <c r="J7" i="10"/>
  <c r="R7" i="10"/>
  <c r="C7" i="10"/>
  <c r="K7" i="10"/>
  <c r="S7" i="10"/>
  <c r="D7" i="10"/>
  <c r="L7" i="10"/>
  <c r="T7" i="10"/>
  <c r="E7" i="10"/>
  <c r="M7" i="10"/>
  <c r="U7" i="10"/>
  <c r="E8" i="9"/>
  <c r="E28" i="9"/>
  <c r="F8" i="9"/>
  <c r="F12" i="9"/>
  <c r="F16" i="9"/>
  <c r="F20" i="9"/>
  <c r="F24" i="9"/>
  <c r="F28" i="9"/>
  <c r="E12" i="9"/>
  <c r="E16" i="9"/>
  <c r="E7" i="9"/>
  <c r="E11" i="9"/>
  <c r="E15" i="9"/>
  <c r="E19" i="9"/>
  <c r="G20" i="9"/>
  <c r="E23" i="9"/>
  <c r="G24" i="9"/>
  <c r="E27" i="9"/>
  <c r="F7" i="9"/>
  <c r="F11" i="9"/>
  <c r="F15" i="9"/>
  <c r="F19" i="9"/>
  <c r="F23" i="9"/>
  <c r="F27" i="9"/>
  <c r="E6" i="9"/>
  <c r="E10" i="9"/>
  <c r="E14" i="9"/>
  <c r="E18" i="9"/>
  <c r="E30" i="9"/>
  <c r="F6" i="9"/>
  <c r="F10" i="9"/>
  <c r="F14" i="9"/>
  <c r="F18" i="9"/>
  <c r="F22" i="9"/>
  <c r="F26" i="9"/>
  <c r="F30" i="9"/>
</calcChain>
</file>

<file path=xl/sharedStrings.xml><?xml version="1.0" encoding="utf-8"?>
<sst xmlns="http://schemas.openxmlformats.org/spreadsheetml/2006/main" count="406" uniqueCount="268">
  <si>
    <t>Standard Report - Imports</t>
  </si>
  <si>
    <t>Measures: Customs Value (Gen) ($US)</t>
  </si>
  <si>
    <t>Time</t>
  </si>
  <si>
    <t>India</t>
  </si>
  <si>
    <t>China</t>
  </si>
  <si>
    <t>Hong Kong</t>
  </si>
  <si>
    <t>Indonesia</t>
  </si>
  <si>
    <t>Japan</t>
  </si>
  <si>
    <t>Korea, South</t>
  </si>
  <si>
    <t>Malaysia</t>
  </si>
  <si>
    <t>Philippines</t>
  </si>
  <si>
    <t>Singapore</t>
  </si>
  <si>
    <t>Taiwan</t>
  </si>
  <si>
    <t>Thailand</t>
  </si>
  <si>
    <t>Vietnam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</si>
  <si>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</si>
  <si>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</si>
  <si>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</si>
  <si>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</si>
  <si>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</si>
  <si>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</si>
  <si>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</si>
  <si>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</si>
  <si>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</si>
  <si>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</si>
  <si>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</si>
  <si>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</si>
  <si>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</si>
  <si>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</si>
  <si>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</si>
  <si>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</si>
  <si>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</si>
  <si>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</si>
  <si>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</si>
  <si>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</si>
  <si>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</si>
  <si>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</si>
  <si>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</si>
  <si>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</si>
  <si>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Bangladesh</t>
  </si>
  <si>
    <t>Pakistan</t>
  </si>
  <si>
    <t>Brunei</t>
  </si>
  <si>
    <t>Burma</t>
  </si>
  <si>
    <t>Cambodia</t>
  </si>
  <si>
    <t>Current date: 06/29/2026 4:49 AM (Eastern Daylight Time)</t>
  </si>
  <si>
    <t>All Geographic Regions (World Total)</t>
  </si>
  <si>
    <t>Africa</t>
  </si>
  <si>
    <t>South Africa</t>
  </si>
  <si>
    <t>Asia</t>
  </si>
  <si>
    <t>Asia Near East</t>
  </si>
  <si>
    <t>Bahrain</t>
  </si>
  <si>
    <t>Gaza Strip Administered by Israel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</si>
  <si>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</si>
  <si>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</si>
  <si>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</si>
  <si>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</si>
  <si>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</si>
  <si>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</si>
  <si>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</si>
  <si>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</si>
  <si>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</si>
  <si>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</si>
  <si>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United Arab Emirates</t>
  </si>
  <si>
    <t>West Bank Administered by Israel</t>
  </si>
  <si>
    <t>Yemen</t>
  </si>
  <si>
    <t>Asia - South</t>
  </si>
  <si>
    <t>Afghanistan</t>
  </si>
  <si>
    <t>Nepal</t>
  </si>
  <si>
    <t>Sri Lanka</t>
  </si>
  <si>
    <t>Asia - Other</t>
  </si>
  <si>
    <t>Bhutan</t>
  </si>
  <si>
    <t>Iraqi-Saudi Arabia Neutral Zone (through Dec 1992)</t>
  </si>
  <si>
    <t>Korea, North</t>
  </si>
  <si>
    <t>Laos</t>
  </si>
  <si>
    <t>Macau</t>
  </si>
  <si>
    <t>Maldives</t>
  </si>
  <si>
    <t>Mongolia</t>
  </si>
  <si>
    <t>Timor-Leste</t>
  </si>
  <si>
    <t>Australia and Oceania</t>
  </si>
  <si>
    <t>Australia</t>
  </si>
  <si>
    <t>Christmas Island</t>
  </si>
  <si>
    <t>Cocos (Keeling) Islands</t>
  </si>
  <si>
    <t>Cook Islands</t>
  </si>
  <si>
    <t>Fiji</t>
  </si>
  <si>
    <t>French Polynesia</t>
  </si>
  <si>
    <t>Heard and McDonald Islands</t>
  </si>
  <si>
    <t>Kiribati</t>
  </si>
  <si>
    <t>Marshall Islands</t>
  </si>
  <si>
    <t>Micronesia</t>
  </si>
  <si>
    <t>Nauru</t>
  </si>
  <si>
    <t>New Caledonia</t>
  </si>
  <si>
    <t>New Zealand</t>
  </si>
  <si>
    <t>Niue</t>
  </si>
  <si>
    <t>Norfolk Island</t>
  </si>
  <si>
    <t>Palau</t>
  </si>
  <si>
    <t>Papua New Guinea</t>
  </si>
  <si>
    <t>Pitcairn Islands</t>
  </si>
  <si>
    <t>Samoa</t>
  </si>
  <si>
    <t>Solomon Islands</t>
  </si>
  <si>
    <t>Tokelau</t>
  </si>
  <si>
    <t>Tonga</t>
  </si>
  <si>
    <t>Tuvalu</t>
  </si>
  <si>
    <t>Vanuatu</t>
  </si>
  <si>
    <t>Wallis and Futuna</t>
  </si>
  <si>
    <t>Europe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</si>
  <si>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</si>
  <si>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</si>
  <si>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</si>
  <si>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</si>
  <si>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</si>
  <si>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</si>
  <si>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</si>
  <si>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</si>
  <si>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</si>
  <si>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</si>
  <si>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</si>
  <si>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</si>
  <si>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Czechoslovakia (through Dec 1992)</t>
  </si>
  <si>
    <t>Denmark</t>
  </si>
  <si>
    <t>Estonia</t>
  </si>
  <si>
    <t>Faroe Islands</t>
  </si>
  <si>
    <t>Finland</t>
  </si>
  <si>
    <t>France</t>
  </si>
  <si>
    <t>Georgia</t>
  </si>
  <si>
    <t>Germany</t>
  </si>
  <si>
    <t>Gibraltar</t>
  </si>
  <si>
    <t>Greece</t>
  </si>
  <si>
    <t>Hungary</t>
  </si>
  <si>
    <t>Iceland</t>
  </si>
  <si>
    <t>Ireland</t>
  </si>
  <si>
    <t>Italy</t>
  </si>
  <si>
    <t>Kazakhstan</t>
  </si>
  <si>
    <t>Kosovo</t>
  </si>
  <si>
    <t>Kyrgyzstan</t>
  </si>
  <si>
    <t>Latvia</t>
  </si>
  <si>
    <t>Liechtenstein</t>
  </si>
  <si>
    <t>Lithuania</t>
  </si>
  <si>
    <t>Luxembourg</t>
  </si>
  <si>
    <t>Macedonia</t>
  </si>
  <si>
    <t>Malta</t>
  </si>
  <si>
    <t>Moldova</t>
  </si>
  <si>
    <t>Monaco</t>
  </si>
  <si>
    <t>Montenegro</t>
  </si>
  <si>
    <t>Netherlands</t>
  </si>
  <si>
    <t>Norway</t>
  </si>
  <si>
    <t>Poland</t>
  </si>
  <si>
    <t>Portugal</t>
  </si>
  <si>
    <t>Romania</t>
  </si>
  <si>
    <t>Russia</t>
  </si>
  <si>
    <t>San Marino</t>
  </si>
  <si>
    <t>Serbia</t>
  </si>
  <si>
    <t>Serbia (Jan 2007 - Dec 2008)</t>
  </si>
  <si>
    <t>Serbia and Montenegro (Aug 2003 - Dec 2006)</t>
  </si>
  <si>
    <t>Slovakia</t>
  </si>
  <si>
    <t>Slovenia</t>
  </si>
  <si>
    <t>Spain</t>
  </si>
  <si>
    <t>Svalbard, Jan Mayen Island</t>
  </si>
  <si>
    <t>Sweden</t>
  </si>
  <si>
    <t>Switzerland</t>
  </si>
  <si>
    <t>Tajikistan</t>
  </si>
  <si>
    <t>Turkey</t>
  </si>
  <si>
    <t>Turkmenistan</t>
  </si>
  <si>
    <t>Ukraine</t>
  </si>
  <si>
    <t>Soviet Union (through Jun 1992)</t>
  </si>
  <si>
    <t>United Kingdom</t>
  </si>
  <si>
    <t>Uzbekistan</t>
  </si>
  <si>
    <t>Vatican City</t>
  </si>
  <si>
    <t>Yugoslavia (through May 1992)</t>
  </si>
  <si>
    <t>North America</t>
  </si>
  <si>
    <t>Canada</t>
  </si>
  <si>
    <t>Greenland</t>
  </si>
  <si>
    <t>Mexico</t>
  </si>
  <si>
    <t>St Pierre and Miquelon</t>
  </si>
  <si>
    <t>South/Central America</t>
  </si>
  <si>
    <t>Central America and Caribbean</t>
  </si>
  <si>
    <t>Anguilla</t>
  </si>
  <si>
    <t>Antigua and Barbuda</t>
  </si>
  <si>
    <t>Aruba</t>
  </si>
  <si>
    <t>Bahamas</t>
  </si>
  <si>
    <t>Barbados</t>
  </si>
  <si>
    <t>Belize</t>
  </si>
  <si>
    <t>Bermuda</t>
  </si>
  <si>
    <t>British Virgin Islands</t>
  </si>
  <si>
    <t>Cayman Islands</t>
  </si>
  <si>
    <t>Costa Rica</t>
  </si>
  <si>
    <t>Cuba</t>
  </si>
  <si>
    <t>Curacao</t>
  </si>
  <si>
    <t>Dominica</t>
  </si>
  <si>
    <t>Dominican Republic</t>
  </si>
  <si>
    <t>El Salvador</t>
  </si>
  <si>
    <t>Grenada</t>
  </si>
  <si>
    <t>Guadeloupe</t>
  </si>
  <si>
    <t>Guatemala</t>
  </si>
  <si>
    <t>Haiti</t>
  </si>
  <si>
    <t>Honduras</t>
  </si>
  <si>
    <t>Jamaica</t>
  </si>
  <si>
    <t>Martinique</t>
  </si>
  <si>
    <t>Montserrat</t>
  </si>
  <si>
    <t>Netherlands Antilles (through Apr 2011)</t>
  </si>
  <si>
    <t>Nicaragua</t>
  </si>
  <si>
    <t>Panama</t>
  </si>
  <si>
    <t>Sint Maarten</t>
  </si>
  <si>
    <t>St Kitts and Nevis</t>
  </si>
  <si>
    <t>St Lucia</t>
  </si>
  <si>
    <t>St Vincent and the Grenadines</t>
  </si>
  <si>
    <t>Trinidad and Tobago</t>
  </si>
  <si>
    <t>Turks and Caicos Islands</t>
  </si>
  <si>
    <t>South America</t>
  </si>
  <si>
    <t>Argentina</t>
  </si>
  <si>
    <t>Bolivia</t>
  </si>
  <si>
    <t>Brazil</t>
  </si>
  <si>
    <t>Chile</t>
  </si>
  <si>
    <t>Colombia</t>
  </si>
  <si>
    <t>Ecuador</t>
  </si>
  <si>
    <t>Falkland Islands (Islas Malvinas)</t>
  </si>
  <si>
    <t>French Guiana</t>
  </si>
  <si>
    <t>Guyana</t>
  </si>
  <si>
    <t>Paraguay</t>
  </si>
  <si>
    <t>Peru</t>
  </si>
  <si>
    <t>Suriname</t>
  </si>
  <si>
    <t>Uruguay</t>
  </si>
  <si>
    <t>Venezuela</t>
  </si>
  <si>
    <t>Total</t>
  </si>
  <si>
    <t>U.S. Mould Imports — China+1 Sourcing Analysis</t>
  </si>
  <si>
    <t>HS 8480 (all moulds) &amp; HS 8480.71 (injection/compression moulds for rubber &amp; plastics) · 2002–2025 · US Census Bureau customs value</t>
  </si>
  <si>
    <t xml:space="preserve">  Headline metrics</t>
  </si>
  <si>
    <t>Metric</t>
  </si>
  <si>
    <t>HS 8480 (all moulds)</t>
  </si>
  <si>
    <t>HS 8480.71 (inj/comp)</t>
  </si>
  <si>
    <t>World imports, 2025</t>
  </si>
  <si>
    <t>World imports, 2018 (peak)</t>
  </si>
  <si>
    <t>World CAGR, 2002–2025</t>
  </si>
  <si>
    <t>World CAGR, 2018–2025 (post-peak)</t>
  </si>
  <si>
    <t>Canada (largest source), 2025</t>
  </si>
  <si>
    <t>Canada share of world, 2025</t>
  </si>
  <si>
    <t>China, 2025</t>
  </si>
  <si>
    <t>China share of world, 2018 → 2025</t>
  </si>
  <si>
    <t xml:space="preserve">   → China share of world, 2025</t>
  </si>
  <si>
    <t>China share of OFFSHORE (ex-N.America), 2025</t>
  </si>
  <si>
    <t xml:space="preserve">  Key findings</t>
  </si>
  <si>
    <t>1.  Mature, post-peak market. U.S. mould imports peaked in 2018 and have declined since; 2002–25 CAGR is only ~2%. This is a SHARE-SHIFT story, not a growth story.</t>
  </si>
  <si>
    <t>2.  Canada is the elephant (37% of all moulds / 44% of injection in 2025) — integrated North-American automotive tooling, structurally domestic-adjacent, not part of the offshore Asian sourcing contest.</t>
  </si>
  <si>
    <t>3.  China+1 is real and clear. China peaked in 2018 (~22% of world; ~42% of offshore) and has since fallen to ~15% of world / ~26–30% of offshore — down ~$180–250M from peak.</t>
  </si>
  <si>
    <t>4.  SE Asia + India is the fastest-growing source (≈13–18% CAGR; ≈18–19% in the 2018–25 China-decline window) — but still only 1.8% (injection) to 4.4% (all moulds) of the market. Early and small.</t>
  </si>
  <si>
    <t>5.  China's lost share is split three ways: nearshoring (Mexico), European premium tooling (Germany/Italy/Austria/Portugal), and SE Asia (Thailand leads). Netherlands' 2025 spike is almost certainly re-export, not Dutch production.</t>
  </si>
  <si>
    <t>6.  Latest year (2024→25) shows the rotation still accelerating at the margin: China flat-to-down while Malaysia +18–45%, Vietnam +32–49%, Indonesia +40%, India +7–19%.</t>
  </si>
  <si>
    <t>7.  Implication for a SE-Asia sourcing platform: the secular tailwind is confirmed, but the prize today is capturing a larger slice of a still-small, fast-growing diverted flow — by making SE-Asian tool shops findable and qualifiable vs. Mexico/Europe.</t>
  </si>
  <si>
    <t>Source Momentum — HS 8480 (all moulds)</t>
  </si>
  <si>
    <t>Meaningful sources (&gt;$5M in 2025), ranked by 10-yr CAGR. All metrics are live formulas.</t>
  </si>
  <si>
    <t>Country</t>
  </si>
  <si>
    <t>CAGR 15–25</t>
  </si>
  <si>
    <t>CAGR 20–25</t>
  </si>
  <si>
    <t>% of world 2025</t>
  </si>
  <si>
    <t>China+1 Shift — China vs. SE Asia + India</t>
  </si>
  <si>
    <t>HS 8480 (all moulds). Values = US Census customs value. Shares &amp; CAGRs are live formulas.</t>
  </si>
  <si>
    <t>Year</t>
  </si>
  <si>
    <t>World total</t>
  </si>
  <si>
    <t>China % of world</t>
  </si>
  <si>
    <t>China % of offshore (ex-N.Am)</t>
  </si>
  <si>
    <t>SE Asia+India basket</t>
  </si>
  <si>
    <t>Basket % of world</t>
  </si>
  <si>
    <t>Per-country detail: 2018 (China peak) → 2025</t>
  </si>
  <si>
    <t>2018 value</t>
  </si>
  <si>
    <t>2018 % world</t>
  </si>
  <si>
    <t>2025 value</t>
  </si>
  <si>
    <t>2025 % world</t>
  </si>
  <si>
    <t>CAGR 18–25</t>
  </si>
  <si>
    <t>Share Δ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</si>
</sst>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#"/>
    <numFmt numFmtId="169" formatCode="\$#,##0;&quot;($&quot;#,##0\);\–"/>
    <numFmt numFmtId="170" formatCode="0.0%;\(0.0%\);\–"/>
    <numFmt numFmtId="171" formatCode="\+0.0;\-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  <font>
      <sz val="11"/>
      <color theme="1"/>
      <name val="Calibri"/>
      <family val="2"/>
      <charset val="1"/>
    </font>
    <font>
      <b/>
      <sz val="15"/>
      <color rgb="FF1A1A2E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A1A2E"/>
      <name val="Arial"/>
      <charset val="1"/>
    </font>
    <font>
      <b/>
      <sz val="10"/>
      <color rgb="FFFFFFFF"/>
      <name val="Arial"/>
      <charset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BFF"/>
        <bgColor indexed="64"/>
      </patternFill>
    </fill>
    <fill>
      <patternFill patternType="solid">
        <fgColor rgb="FFFFDD95"/>
        <bgColor indexed="64"/>
      </patternFill>
    </fill>
    <fill>
      <patternFill patternType="solid">
        <fgColor rgb="FF1A1A2E"/>
        <bgColor rgb="FF333300"/>
      </patternFill>
    </fill>
    <fill>
      <patternFill patternType="solid">
        <fgColor rgb="FFDFE5F0"/>
        <bgColor rgb="FFD9D9D9"/>
      </patternFill>
    </fill>
    <fill>
      <patternFill patternType="solid">
        <fgColor rgb="FFF2F5FB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39">
    <xf numFmtId="0" fontId="0" fillId="0" borderId="0" xfId="0"/>
    <xf numFmtId="0" fontId="18" fillId="0" borderId="10" xfId="0" applyFont="1" applyBorder="1"/>
    <xf numFmtId="0" fontId="18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vertical="center"/>
    </xf>
    <xf numFmtId="164" fontId="0" fillId="0" borderId="10" xfId="0" applyNumberFormat="1" applyBorder="1"/>
    <xf numFmtId="0" fontId="0" fillId="0" borderId="10" xfId="0" applyBorder="1"/>
    <xf numFmtId="164" fontId="0" fillId="0" borderId="0" xfId="0" applyNumberFormat="1"/>
    <xf numFmtId="0" fontId="0" fillId="33" borderId="11" xfId="0" applyFill="1" applyBorder="1" applyAlignment="1">
      <alignment horizontal="center"/>
    </xf>
    <xf numFmtId="0" fontId="20" fillId="0" borderId="0" xfId="42" applyFont="1"/>
    <xf numFmtId="0" fontId="19" fillId="0" borderId="0" xfId="42"/>
    <xf numFmtId="0" fontId="21" fillId="0" borderId="0" xfId="42" applyFont="1"/>
    <xf numFmtId="0" fontId="22" fillId="35" borderId="0" xfId="42" applyFont="1" applyFill="1"/>
    <xf numFmtId="0" fontId="23" fillId="36" borderId="0" xfId="42" applyFont="1" applyFill="1"/>
    <xf numFmtId="0" fontId="24" fillId="37" borderId="12" xfId="42" applyFont="1" applyFill="1" applyBorder="1"/>
    <xf numFmtId="169" fontId="24" fillId="37" borderId="12" xfId="42" applyNumberFormat="1" applyFont="1" applyFill="1" applyBorder="1" applyAlignment="1">
      <alignment horizontal="center" vertical="center"/>
    </xf>
    <xf numFmtId="0" fontId="24" fillId="0" borderId="12" xfId="42" applyFont="1" applyBorder="1"/>
    <xf numFmtId="169" fontId="24" fillId="0" borderId="12" xfId="42" applyNumberFormat="1" applyFont="1" applyBorder="1" applyAlignment="1">
      <alignment horizontal="center" vertical="center"/>
    </xf>
    <xf numFmtId="170" fontId="24" fillId="37" borderId="12" xfId="42" applyNumberFormat="1" applyFont="1" applyFill="1" applyBorder="1" applyAlignment="1">
      <alignment horizontal="center" vertical="center"/>
    </xf>
    <xf numFmtId="170" fontId="24" fillId="0" borderId="12" xfId="42" applyNumberFormat="1" applyFont="1" applyBorder="1" applyAlignment="1">
      <alignment horizontal="center" vertical="center"/>
    </xf>
    <xf numFmtId="0" fontId="24" fillId="0" borderId="0" xfId="42" applyFont="1" applyAlignment="1">
      <alignment vertical="top" wrapText="1"/>
    </xf>
    <xf numFmtId="0" fontId="25" fillId="0" borderId="0" xfId="42" applyFont="1"/>
    <xf numFmtId="0" fontId="26" fillId="35" borderId="0" xfId="42" applyFont="1" applyFill="1" applyAlignment="1">
      <alignment horizontal="left"/>
    </xf>
    <xf numFmtId="0" fontId="26" fillId="35" borderId="0" xfId="42" applyFont="1" applyFill="1" applyAlignment="1">
      <alignment horizontal="center"/>
    </xf>
    <xf numFmtId="0" fontId="24" fillId="0" borderId="12" xfId="42" applyFont="1" applyBorder="1"/>
    <xf numFmtId="169" fontId="24" fillId="0" borderId="12" xfId="42" applyNumberFormat="1" applyFont="1" applyBorder="1" applyAlignment="1">
      <alignment horizontal="center"/>
    </xf>
    <xf numFmtId="170" fontId="24" fillId="0" borderId="12" xfId="42" applyNumberFormat="1" applyFont="1" applyBorder="1" applyAlignment="1">
      <alignment horizontal="center"/>
    </xf>
    <xf numFmtId="0" fontId="24" fillId="37" borderId="12" xfId="42" applyFont="1" applyFill="1" applyBorder="1"/>
    <xf numFmtId="169" fontId="24" fillId="37" borderId="12" xfId="42" applyNumberFormat="1" applyFont="1" applyFill="1" applyBorder="1" applyAlignment="1">
      <alignment horizontal="center"/>
    </xf>
    <xf numFmtId="170" fontId="24" fillId="37" borderId="12" xfId="42" applyNumberFormat="1" applyFont="1" applyFill="1" applyBorder="1" applyAlignment="1">
      <alignment horizontal="center"/>
    </xf>
    <xf numFmtId="0" fontId="26" fillId="35" borderId="0" xfId="42" applyFont="1" applyFill="1"/>
    <xf numFmtId="1" fontId="26" fillId="35" borderId="0" xfId="42" applyNumberFormat="1" applyFont="1" applyFill="1" applyAlignment="1">
      <alignment horizontal="center"/>
    </xf>
    <xf numFmtId="0" fontId="23" fillId="0" borderId="0" xfId="42" applyFont="1" applyAlignment="1">
      <alignment horizontal="left"/>
    </xf>
    <xf numFmtId="169" fontId="24" fillId="0" borderId="0" xfId="42" applyNumberFormat="1" applyFont="1" applyAlignment="1">
      <alignment horizontal="center"/>
    </xf>
    <xf numFmtId="170" fontId="24" fillId="0" borderId="0" xfId="42" applyNumberFormat="1" applyFont="1" applyAlignment="1">
      <alignment horizontal="center"/>
    </xf>
    <xf numFmtId="0" fontId="23" fillId="36" borderId="12" xfId="42" applyFont="1" applyFill="1" applyBorder="1" applyAlignment="1">
      <alignment horizontal="left"/>
    </xf>
    <xf numFmtId="0" fontId="23" fillId="36" borderId="12" xfId="42" applyFont="1" applyFill="1" applyBorder="1" applyAlignment="1">
      <alignment horizontal="center"/>
    </xf>
    <xf numFmtId="171" fontId="24" fillId="0" borderId="12" xfId="42" applyNumberFormat="1" applyFont="1" applyBorder="1" applyAlignment="1">
      <alignment horizontal="center"/>
    </xf>
    <xf numFmtId="171" fontId="24" fillId="37" borderId="12" xfId="42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4557106-6765-45AE-B803-611A4F798B7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Malaysia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'HS8480 - all mold'!$B$5:$Y$5</c:f>
              <c:strCach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strCache>
            </c:strRef>
          </c:cat>
          <c:val>
            <c:numRef>
              <c:f>'HS8480 - all mold'!$B$31:$Y$31</c:f>
              <c:numCache>
                <c:formatCode>#,###</c:formatCode>
                <c:ptCount val="24"/>
                <c:pt idx="0">
                  <c:v>1902057</c:v>
                </c:pt>
                <c:pt idx="1">
                  <c:v>2077837</c:v>
                </c:pt>
                <c:pt idx="2">
                  <c:v>2141894</c:v>
                </c:pt>
                <c:pt idx="3">
                  <c:v>1990860</c:v>
                </c:pt>
                <c:pt idx="4">
                  <c:v>2746866</c:v>
                </c:pt>
                <c:pt idx="5">
                  <c:v>2855524</c:v>
                </c:pt>
                <c:pt idx="6">
                  <c:v>4065699</c:v>
                </c:pt>
                <c:pt idx="7">
                  <c:v>2123453</c:v>
                </c:pt>
                <c:pt idx="8">
                  <c:v>2613012</c:v>
                </c:pt>
                <c:pt idx="9">
                  <c:v>2078405</c:v>
                </c:pt>
                <c:pt idx="10">
                  <c:v>3134390</c:v>
                </c:pt>
                <c:pt idx="11">
                  <c:v>2479987</c:v>
                </c:pt>
                <c:pt idx="12">
                  <c:v>3640702</c:v>
                </c:pt>
                <c:pt idx="13">
                  <c:v>3119339</c:v>
                </c:pt>
                <c:pt idx="14">
                  <c:v>2886323</c:v>
                </c:pt>
                <c:pt idx="15">
                  <c:v>3533798</c:v>
                </c:pt>
                <c:pt idx="16">
                  <c:v>2501611</c:v>
                </c:pt>
                <c:pt idx="17">
                  <c:v>4182633</c:v>
                </c:pt>
                <c:pt idx="18">
                  <c:v>3729844</c:v>
                </c:pt>
                <c:pt idx="19">
                  <c:v>4920458</c:v>
                </c:pt>
                <c:pt idx="20">
                  <c:v>6805013</c:v>
                </c:pt>
                <c:pt idx="21">
                  <c:v>6982079</c:v>
                </c:pt>
                <c:pt idx="22">
                  <c:v>9022971</c:v>
                </c:pt>
                <c:pt idx="23">
                  <c:v>10642976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C-407D-80B0-399F0AB58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871200"/>
        <c:axId val="1738865440"/>
      </c:barChart>
      <c:catAx>
        <c:axId val="17388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8865440"/>
        <c:crosses val="autoZero"/>
        <c:auto val="1"/>
        <c:lblAlgn val="ctr"/>
        <c:lblOffset val="100"/>
        <c:noMultiLvlLbl val="0"/>
      </c:catAx>
      <c:valAx>
        <c:axId val="17388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88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China share of U.S. mould sourcing (HS 8480)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China % of world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'China+1_Analysis'!$B$4:$Y$4</c:f>
              <c:numCache>
                <c:formatCode>0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'China+1_Analysis'!$B$7:$Y$7</c:f>
              <c:numCache>
                <c:formatCode>0.0%;\(0.0%\);\–</c:formatCode>
                <c:ptCount val="24"/>
                <c:pt idx="0">
                  <c:v>2.2252496183716566E-2</c:v>
                </c:pt>
                <c:pt idx="1">
                  <c:v>2.8960743359891506E-2</c:v>
                </c:pt>
                <c:pt idx="2">
                  <c:v>3.6012801057362064E-2</c:v>
                </c:pt>
                <c:pt idx="3">
                  <c:v>4.961077635921636E-2</c:v>
                </c:pt>
                <c:pt idx="4">
                  <c:v>6.3860472062069934E-2</c:v>
                </c:pt>
                <c:pt idx="5">
                  <c:v>9.9364937867791214E-2</c:v>
                </c:pt>
                <c:pt idx="6">
                  <c:v>0.11606754888701933</c:v>
                </c:pt>
                <c:pt idx="7">
                  <c:v>0.13064017237854689</c:v>
                </c:pt>
                <c:pt idx="8">
                  <c:v>0.16398907614590874</c:v>
                </c:pt>
                <c:pt idx="9">
                  <c:v>0.18006384720503982</c:v>
                </c:pt>
                <c:pt idx="10">
                  <c:v>0.20066694054431825</c:v>
                </c:pt>
                <c:pt idx="11">
                  <c:v>0.19257444753417413</c:v>
                </c:pt>
                <c:pt idx="12">
                  <c:v>0.19507144132327189</c:v>
                </c:pt>
                <c:pt idx="13">
                  <c:v>0.21765820288361909</c:v>
                </c:pt>
                <c:pt idx="14">
                  <c:v>0.20696541274183244</c:v>
                </c:pt>
                <c:pt idx="15">
                  <c:v>0.21908008135663423</c:v>
                </c:pt>
                <c:pt idx="16">
                  <c:v>0.22007355513508708</c:v>
                </c:pt>
                <c:pt idx="17">
                  <c:v>0.21478844964087171</c:v>
                </c:pt>
                <c:pt idx="18">
                  <c:v>0.18553217867871688</c:v>
                </c:pt>
                <c:pt idx="19">
                  <c:v>0.18190603844949102</c:v>
                </c:pt>
                <c:pt idx="20">
                  <c:v>0.1679099027871038</c:v>
                </c:pt>
                <c:pt idx="21">
                  <c:v>0.16128329833806998</c:v>
                </c:pt>
                <c:pt idx="22">
                  <c:v>0.157252775878716</c:v>
                </c:pt>
                <c:pt idx="23">
                  <c:v>0.15405085376397842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B7-4BF8-AC27-936C5E173997}"/>
            </c:ext>
          </c:extLst>
        </c:ser>
        <c:ser>
          <c:idx val="1"/>
          <c:order val="1"/>
          <c:tx>
            <c:v>China % of offshore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'China+1_Analysis'!$B$4:$Y$4</c:f>
              <c:numCache>
                <c:formatCode>0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'China+1_Analysis'!$B$8:$Y$8</c:f>
              <c:numCache>
                <c:formatCode>0.0%;\(0.0%\);\–</c:formatCode>
                <c:ptCount val="24"/>
                <c:pt idx="0">
                  <c:v>4.7030248872770734E-2</c:v>
                </c:pt>
                <c:pt idx="1">
                  <c:v>5.996537492975447E-2</c:v>
                </c:pt>
                <c:pt idx="2">
                  <c:v>6.9691106098143094E-2</c:v>
                </c:pt>
                <c:pt idx="3">
                  <c:v>0.10319045505030787</c:v>
                </c:pt>
                <c:pt idx="4">
                  <c:v>0.11792869552133599</c:v>
                </c:pt>
                <c:pt idx="5">
                  <c:v>0.17153936569426259</c:v>
                </c:pt>
                <c:pt idx="6">
                  <c:v>0.19968388042139043</c:v>
                </c:pt>
                <c:pt idx="7">
                  <c:v>0.22362115875841693</c:v>
                </c:pt>
                <c:pt idx="8">
                  <c:v>0.27731672120665035</c:v>
                </c:pt>
                <c:pt idx="9">
                  <c:v>0.27847640293344644</c:v>
                </c:pt>
                <c:pt idx="10">
                  <c:v>0.30907244807808731</c:v>
                </c:pt>
                <c:pt idx="11">
                  <c:v>0.33338259591840103</c:v>
                </c:pt>
                <c:pt idx="12">
                  <c:v>0.32434479800581456</c:v>
                </c:pt>
                <c:pt idx="13">
                  <c:v>0.37540000781350907</c:v>
                </c:pt>
                <c:pt idx="14">
                  <c:v>0.35322043246575241</c:v>
                </c:pt>
                <c:pt idx="15">
                  <c:v>0.3798146518561723</c:v>
                </c:pt>
                <c:pt idx="16">
                  <c:v>0.37780755134970989</c:v>
                </c:pt>
                <c:pt idx="17">
                  <c:v>0.37393935016002333</c:v>
                </c:pt>
                <c:pt idx="18">
                  <c:v>0.30763455204617202</c:v>
                </c:pt>
                <c:pt idx="19">
                  <c:v>0.32289819177587809</c:v>
                </c:pt>
                <c:pt idx="20">
                  <c:v>0.29556348190941656</c:v>
                </c:pt>
                <c:pt idx="21">
                  <c:v>0.31208454430898486</c:v>
                </c:pt>
                <c:pt idx="22">
                  <c:v>0.26048926250622251</c:v>
                </c:pt>
                <c:pt idx="23">
                  <c:v>0.25612162685565426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8B7-4BF8-AC27-936C5E173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081294"/>
        <c:axId val="79866203"/>
      </c:lineChart>
      <c:catAx>
        <c:axId val="4508129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79866203"/>
        <c:crosses val="autoZero"/>
        <c:auto val="1"/>
        <c:lblAlgn val="ctr"/>
        <c:lblOffset val="100"/>
        <c:noMultiLvlLbl val="0"/>
      </c:catAx>
      <c:valAx>
        <c:axId val="7986620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450812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SE Asia + India basket import value (HS 8480)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 Asia + India basket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'China+1_Analysis'!$B$4:$Y$4</c:f>
              <c:numCache>
                <c:formatCode>0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'China+1_Analysis'!$B$9:$Y$9</c:f>
              <c:numCache>
                <c:formatCode>\$#,##0;"($"#,##0\);\–</c:formatCode>
                <c:ptCount val="24"/>
                <c:pt idx="0">
                  <c:v>5495836</c:v>
                </c:pt>
                <c:pt idx="1">
                  <c:v>7448477</c:v>
                </c:pt>
                <c:pt idx="2">
                  <c:v>7684418</c:v>
                </c:pt>
                <c:pt idx="3">
                  <c:v>7932341</c:v>
                </c:pt>
                <c:pt idx="4">
                  <c:v>13146519</c:v>
                </c:pt>
                <c:pt idx="5">
                  <c:v>13804506</c:v>
                </c:pt>
                <c:pt idx="6">
                  <c:v>14433045</c:v>
                </c:pt>
                <c:pt idx="7">
                  <c:v>10230123</c:v>
                </c:pt>
                <c:pt idx="8">
                  <c:v>10180417</c:v>
                </c:pt>
                <c:pt idx="9">
                  <c:v>12480347</c:v>
                </c:pt>
                <c:pt idx="10">
                  <c:v>18796823</c:v>
                </c:pt>
                <c:pt idx="11">
                  <c:v>17783936</c:v>
                </c:pt>
                <c:pt idx="12">
                  <c:v>22229024</c:v>
                </c:pt>
                <c:pt idx="13">
                  <c:v>19319997</c:v>
                </c:pt>
                <c:pt idx="14">
                  <c:v>21825286</c:v>
                </c:pt>
                <c:pt idx="15">
                  <c:v>24441845</c:v>
                </c:pt>
                <c:pt idx="16">
                  <c:v>32315221</c:v>
                </c:pt>
                <c:pt idx="17">
                  <c:v>41099362</c:v>
                </c:pt>
                <c:pt idx="18">
                  <c:v>57702488</c:v>
                </c:pt>
                <c:pt idx="19">
                  <c:v>77295547</c:v>
                </c:pt>
                <c:pt idx="20">
                  <c:v>88828911</c:v>
                </c:pt>
                <c:pt idx="21">
                  <c:v>91500974</c:v>
                </c:pt>
                <c:pt idx="22">
                  <c:v>89034198</c:v>
                </c:pt>
                <c:pt idx="23">
                  <c:v>100868262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D-4A5A-93EE-152FD53C3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176578"/>
        <c:axId val="61188976"/>
      </c:barChart>
      <c:catAx>
        <c:axId val="7217657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61188976"/>
        <c:crosses val="autoZero"/>
        <c:auto val="1"/>
        <c:lblAlgn val="ctr"/>
        <c:lblOffset val="100"/>
        <c:noMultiLvlLbl val="0"/>
      </c:catAx>
      <c:valAx>
        <c:axId val="61188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721765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357186</xdr:colOff>
      <xdr:row>18</xdr:row>
      <xdr:rowOff>97968</xdr:rowOff>
    </xdr:from>
    <xdr:to>
      <xdr:col>41</xdr:col>
      <xdr:colOff>340178</xdr:colOff>
      <xdr:row>38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D0FF8-E22A-0E53-9A23-076B22135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123825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AFE0815C-6E9B-DAB5-4762-01DF34997AC0}"/>
            </a:ext>
          </a:extLst>
        </xdr:cNvPr>
        <xdr:cNvSpPr>
          <a:spLocks noChangeAspect="1" noChangeArrowheads="1"/>
        </xdr:cNvSpPr>
      </xdr:nvSpPr>
      <xdr:spPr bwMode="auto">
        <a:xfrm>
          <a:off x="647700" y="1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77931</xdr:colOff>
      <xdr:row>0</xdr:row>
      <xdr:rowOff>164524</xdr:rowOff>
    </xdr:from>
    <xdr:to>
      <xdr:col>15</xdr:col>
      <xdr:colOff>389657</xdr:colOff>
      <xdr:row>31</xdr:row>
      <xdr:rowOff>100735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6D7CA5-D96A-1CA1-7AF2-5C50BB267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364" y="164524"/>
          <a:ext cx="9403771" cy="557328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304800</xdr:colOff>
      <xdr:row>13</xdr:row>
      <xdr:rowOff>123825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0A35C761-EDE7-C9EA-8380-4F7B3A145360}"/>
            </a:ext>
          </a:extLst>
        </xdr:cNvPr>
        <xdr:cNvSpPr>
          <a:spLocks noChangeAspect="1" noChangeArrowheads="1"/>
        </xdr:cNvSpPr>
      </xdr:nvSpPr>
      <xdr:spPr bwMode="auto">
        <a:xfrm>
          <a:off x="161925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304800</xdr:colOff>
      <xdr:row>30</xdr:row>
      <xdr:rowOff>123825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848B6C41-6375-A160-0C43-68A78DB3BC58}"/>
            </a:ext>
          </a:extLst>
        </xdr:cNvPr>
        <xdr:cNvSpPr>
          <a:spLocks noChangeAspect="1" noChangeArrowheads="1"/>
        </xdr:cNvSpPr>
      </xdr:nvSpPr>
      <xdr:spPr bwMode="auto">
        <a:xfrm>
          <a:off x="14249400" y="52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304800</xdr:colOff>
      <xdr:row>13</xdr:row>
      <xdr:rowOff>123825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F4C518A1-F764-56FE-876A-CD5C824242E1}"/>
            </a:ext>
          </a:extLst>
        </xdr:cNvPr>
        <xdr:cNvSpPr>
          <a:spLocks noChangeAspect="1" noChangeArrowheads="1"/>
        </xdr:cNvSpPr>
      </xdr:nvSpPr>
      <xdr:spPr bwMode="auto">
        <a:xfrm>
          <a:off x="116586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304800</xdr:colOff>
      <xdr:row>18</xdr:row>
      <xdr:rowOff>123825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E2C24883-BBA3-D119-FE2D-FE84C58BD972}"/>
            </a:ext>
          </a:extLst>
        </xdr:cNvPr>
        <xdr:cNvSpPr>
          <a:spLocks noChangeAspect="1" noChangeArrowheads="1"/>
        </xdr:cNvSpPr>
      </xdr:nvSpPr>
      <xdr:spPr bwMode="auto">
        <a:xfrm>
          <a:off x="11658600" y="30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623456</xdr:colOff>
      <xdr:row>1</xdr:row>
      <xdr:rowOff>34636</xdr:rowOff>
    </xdr:from>
    <xdr:to>
      <xdr:col>31</xdr:col>
      <xdr:colOff>519545</xdr:colOff>
      <xdr:row>30</xdr:row>
      <xdr:rowOff>28103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49AC0-84E7-195D-F5BD-40533EDC0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4365" y="216478"/>
          <a:ext cx="9637567" cy="526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123825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67EC5E84-F816-D513-BE1F-4134DA4F9351}"/>
            </a:ext>
          </a:extLst>
        </xdr:cNvPr>
        <xdr:cNvSpPr>
          <a:spLocks noChangeAspect="1" noChangeArrowheads="1"/>
        </xdr:cNvSpPr>
      </xdr:nvSpPr>
      <xdr:spPr bwMode="auto">
        <a:xfrm>
          <a:off x="647700" y="117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536866</xdr:colOff>
      <xdr:row>33</xdr:row>
      <xdr:rowOff>76117</xdr:rowOff>
    </xdr:from>
    <xdr:to>
      <xdr:col>15</xdr:col>
      <xdr:colOff>528204</xdr:colOff>
      <xdr:row>62</xdr:row>
      <xdr:rowOff>174048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395F21-C027-1EC7-5264-151E52EF4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866" y="6076868"/>
          <a:ext cx="9732816" cy="5371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123825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5028DEBF-6F9F-B5FD-42E2-702D23B44E41}"/>
            </a:ext>
          </a:extLst>
        </xdr:cNvPr>
        <xdr:cNvSpPr>
          <a:spLocks noChangeAspect="1" noChangeArrowheads="1"/>
        </xdr:cNvSpPr>
      </xdr:nvSpPr>
      <xdr:spPr bwMode="auto">
        <a:xfrm>
          <a:off x="0" y="173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554183</xdr:colOff>
      <xdr:row>32</xdr:row>
      <xdr:rowOff>138548</xdr:rowOff>
    </xdr:from>
    <xdr:to>
      <xdr:col>36</xdr:col>
      <xdr:colOff>153313</xdr:colOff>
      <xdr:row>62</xdr:row>
      <xdr:rowOff>112569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8A6D4B-7897-7074-D2DD-369C8271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5092" y="5957457"/>
          <a:ext cx="12587766" cy="5429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588818</xdr:colOff>
      <xdr:row>65</xdr:row>
      <xdr:rowOff>8658</xdr:rowOff>
    </xdr:from>
    <xdr:to>
      <xdr:col>16</xdr:col>
      <xdr:colOff>259772</xdr:colOff>
      <xdr:row>95</xdr:row>
      <xdr:rowOff>52158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27DBEB-18F7-ED48-B1AA-A797092BE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818" y="11828318"/>
          <a:ext cx="10061863" cy="5498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100013</xdr:colOff>
      <xdr:row>25</xdr:row>
      <xdr:rowOff>98647</xdr:rowOff>
    </xdr:from>
    <xdr:to>
      <xdr:col>5</xdr:col>
      <xdr:colOff>859996</xdr:colOff>
      <xdr:row>40</xdr:row>
      <xdr:rowOff>120607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7A694-C734-4C82-AE32-7793CB033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85725</xdr:colOff>
      <xdr:row>41</xdr:row>
      <xdr:rowOff>8160</xdr:rowOff>
    </xdr:from>
    <xdr:to>
      <xdr:col>5</xdr:col>
      <xdr:colOff>845708</xdr:colOff>
      <xdr:row>56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5FC996-497F-4D7E-A7FE-4ACE448B4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Mould_Import_Analysis.xlsx" TargetMode="External"/><Relationship Id="rId2" Type="http://schemas.openxmlformats.org/officeDocument/2006/relationships/externalLinkPath" Target="file:///C:\Users\liang\Downloads\Mould_Import_Analysis.xlsx" TargetMode="External"/><Relationship Id="rId1" Type="http://schemas.openxmlformats.org/officeDocument/2006/relationships/externalLinkPath" Target="/Users/liang/Downloads/Mould_Impor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na+1_Analysis (2)"/>
      <sheetName val="Momentum_AllMoulds (2)"/>
      <sheetName val="Summary"/>
      <sheetName val="China+1_Analysis"/>
      <sheetName val="Momentum_AllMoulds"/>
      <sheetName val="Momentum_InjComp"/>
      <sheetName val="Raw_HS8480_AllMoulds"/>
      <sheetName val="Raw_HS8480_71_InjComp"/>
      <sheetName val="Sheet4"/>
    </sheetNames>
    <sheetDataSet>
      <sheetData sheetId="0"/>
      <sheetData sheetId="1"/>
      <sheetData sheetId="2"/>
      <sheetData sheetId="3">
        <row r="4">
          <cell r="B4">
            <v>2002</v>
          </cell>
          <cell r="C4">
            <v>2003</v>
          </cell>
          <cell r="D4">
            <v>2004</v>
          </cell>
          <cell r="E4">
            <v>2005</v>
          </cell>
          <cell r="F4">
            <v>2006</v>
          </cell>
          <cell r="G4">
            <v>2007</v>
          </cell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  <cell r="S4">
            <v>2019</v>
          </cell>
          <cell r="T4">
            <v>2020</v>
          </cell>
          <cell r="U4">
            <v>2021</v>
          </cell>
          <cell r="V4">
            <v>2022</v>
          </cell>
          <cell r="W4">
            <v>2023</v>
          </cell>
          <cell r="X4">
            <v>2024</v>
          </cell>
          <cell r="Y4">
            <v>2025</v>
          </cell>
        </row>
        <row r="7">
          <cell r="B7">
            <v>2.2252496183716566E-2</v>
          </cell>
          <cell r="C7">
            <v>2.8960743359891506E-2</v>
          </cell>
          <cell r="D7">
            <v>3.6012801057362064E-2</v>
          </cell>
          <cell r="E7">
            <v>4.961077635921636E-2</v>
          </cell>
          <cell r="F7">
            <v>6.3860472062069934E-2</v>
          </cell>
          <cell r="G7">
            <v>9.9364937867791214E-2</v>
          </cell>
          <cell r="H7">
            <v>0.11606754888701933</v>
          </cell>
          <cell r="I7">
            <v>0.13064017237854689</v>
          </cell>
          <cell r="J7">
            <v>0.16398907614590874</v>
          </cell>
          <cell r="K7">
            <v>0.18006384720503982</v>
          </cell>
          <cell r="L7">
            <v>0.20066694054431825</v>
          </cell>
          <cell r="M7">
            <v>0.19257444753417413</v>
          </cell>
          <cell r="N7">
            <v>0.19507144132327189</v>
          </cell>
          <cell r="O7">
            <v>0.21765820288361909</v>
          </cell>
          <cell r="P7">
            <v>0.20696541274183244</v>
          </cell>
          <cell r="Q7">
            <v>0.21908008135663423</v>
          </cell>
          <cell r="R7">
            <v>0.22007355513508708</v>
          </cell>
          <cell r="S7">
            <v>0.21478844964087171</v>
          </cell>
          <cell r="T7">
            <v>0.18553217867871688</v>
          </cell>
          <cell r="U7">
            <v>0.18190603844949102</v>
          </cell>
          <cell r="V7">
            <v>0.1679099027871038</v>
          </cell>
          <cell r="W7">
            <v>0.16128329833806998</v>
          </cell>
          <cell r="X7">
            <v>0.157252775878716</v>
          </cell>
          <cell r="Y7">
            <v>0.15405085376397842</v>
          </cell>
        </row>
        <row r="8">
          <cell r="B8">
            <v>4.7030248872770734E-2</v>
          </cell>
          <cell r="C8">
            <v>5.996537492975447E-2</v>
          </cell>
          <cell r="D8">
            <v>6.9691106098143094E-2</v>
          </cell>
          <cell r="E8">
            <v>0.10319045505030787</v>
          </cell>
          <cell r="F8">
            <v>0.11792869552133599</v>
          </cell>
          <cell r="G8">
            <v>0.17153936569426259</v>
          </cell>
          <cell r="H8">
            <v>0.19968388042139043</v>
          </cell>
          <cell r="I8">
            <v>0.22362115875841693</v>
          </cell>
          <cell r="J8">
            <v>0.27731672120665035</v>
          </cell>
          <cell r="K8">
            <v>0.27847640293344644</v>
          </cell>
          <cell r="L8">
            <v>0.30907244807808731</v>
          </cell>
          <cell r="M8">
            <v>0.33338259591840103</v>
          </cell>
          <cell r="N8">
            <v>0.32434479800581456</v>
          </cell>
          <cell r="O8">
            <v>0.37540000781350907</v>
          </cell>
          <cell r="P8">
            <v>0.35322043246575241</v>
          </cell>
          <cell r="Q8">
            <v>0.3798146518561723</v>
          </cell>
          <cell r="R8">
            <v>0.37780755134970989</v>
          </cell>
          <cell r="S8">
            <v>0.37393935016002333</v>
          </cell>
          <cell r="T8">
            <v>0.30763455204617202</v>
          </cell>
          <cell r="U8">
            <v>0.32289819177587809</v>
          </cell>
          <cell r="V8">
            <v>0.29556348190941656</v>
          </cell>
          <cell r="W8">
            <v>0.31208454430898486</v>
          </cell>
          <cell r="X8">
            <v>0.26048926250622251</v>
          </cell>
          <cell r="Y8">
            <v>0.25612162685565426</v>
          </cell>
        </row>
        <row r="9">
          <cell r="B9">
            <v>5495836</v>
          </cell>
          <cell r="C9">
            <v>7448477</v>
          </cell>
          <cell r="D9">
            <v>7684418</v>
          </cell>
          <cell r="E9">
            <v>7932341</v>
          </cell>
          <cell r="F9">
            <v>13146519</v>
          </cell>
          <cell r="G9">
            <v>13804506</v>
          </cell>
          <cell r="H9">
            <v>14433045</v>
          </cell>
          <cell r="I9">
            <v>10230123</v>
          </cell>
          <cell r="J9">
            <v>10180417</v>
          </cell>
          <cell r="K9">
            <v>12480347</v>
          </cell>
          <cell r="L9">
            <v>18796823</v>
          </cell>
          <cell r="M9">
            <v>17783936</v>
          </cell>
          <cell r="N9">
            <v>22229024</v>
          </cell>
          <cell r="O9">
            <v>19319997</v>
          </cell>
          <cell r="P9">
            <v>21825286</v>
          </cell>
          <cell r="Q9">
            <v>24441845</v>
          </cell>
          <cell r="R9">
            <v>32315221</v>
          </cell>
          <cell r="S9">
            <v>41099362</v>
          </cell>
          <cell r="T9">
            <v>57702488</v>
          </cell>
          <cell r="U9">
            <v>77295547</v>
          </cell>
          <cell r="V9">
            <v>88828911</v>
          </cell>
          <cell r="W9">
            <v>91500974</v>
          </cell>
          <cell r="X9">
            <v>89034198</v>
          </cell>
          <cell r="Y9">
            <v>100868262</v>
          </cell>
        </row>
      </sheetData>
      <sheetData sheetId="4"/>
      <sheetData sheetId="5"/>
      <sheetData sheetId="6">
        <row r="2">
          <cell r="A2" t="str">
            <v>All Geographic Regions (World Total)</v>
          </cell>
          <cell r="B2">
            <v>1342752730</v>
          </cell>
          <cell r="C2">
            <v>1390129131</v>
          </cell>
          <cell r="D2">
            <v>1511057052</v>
          </cell>
          <cell r="E2">
            <v>1602277546</v>
          </cell>
          <cell r="F2">
            <v>1800789460</v>
          </cell>
          <cell r="G2">
            <v>1553925120</v>
          </cell>
          <cell r="H2">
            <v>1492106361</v>
          </cell>
          <cell r="I2">
            <v>1116778877</v>
          </cell>
          <cell r="J2">
            <v>1218902769</v>
          </cell>
          <cell r="K2">
            <v>1408758926</v>
          </cell>
          <cell r="L2">
            <v>1738518388</v>
          </cell>
          <cell r="M2">
            <v>1942617262</v>
          </cell>
          <cell r="N2">
            <v>2002858898</v>
          </cell>
          <cell r="O2">
            <v>2163212545</v>
          </cell>
          <cell r="P2">
            <v>2220803558</v>
          </cell>
          <cell r="Q2">
            <v>2598466394</v>
          </cell>
          <cell r="R2">
            <v>2722263507</v>
          </cell>
          <cell r="S2">
            <v>2467012262</v>
          </cell>
          <cell r="T2">
            <v>2170496670</v>
          </cell>
          <cell r="U2">
            <v>2480412964</v>
          </cell>
          <cell r="V2">
            <v>2622759222</v>
          </cell>
          <cell r="W2">
            <v>2553194579</v>
          </cell>
          <cell r="X2">
            <v>2309103677</v>
          </cell>
          <cell r="Y2">
            <v>2289935157</v>
          </cell>
        </row>
        <row r="3">
          <cell r="A3" t="str">
            <v>North America</v>
          </cell>
          <cell r="B3">
            <v>707425452</v>
          </cell>
          <cell r="C3">
            <v>718755475</v>
          </cell>
          <cell r="D3">
            <v>730220012</v>
          </cell>
          <cell r="E3">
            <v>831952103</v>
          </cell>
          <cell r="F3">
            <v>825630153</v>
          </cell>
          <cell r="G3">
            <v>653807107</v>
          </cell>
          <cell r="H3">
            <v>624809874</v>
          </cell>
          <cell r="I3">
            <v>464353204</v>
          </cell>
          <cell r="J3">
            <v>498114141</v>
          </cell>
          <cell r="K3">
            <v>497850320</v>
          </cell>
          <cell r="L3">
            <v>609776023</v>
          </cell>
          <cell r="M3">
            <v>820487761</v>
          </cell>
          <cell r="N3">
            <v>798274843</v>
          </cell>
          <cell r="O3">
            <v>908974545</v>
          </cell>
          <cell r="P3">
            <v>919549489</v>
          </cell>
          <cell r="Q3">
            <v>1099650521</v>
          </cell>
          <cell r="R3">
            <v>1136540284</v>
          </cell>
          <cell r="S3">
            <v>1049975679</v>
          </cell>
          <cell r="T3">
            <v>861485789</v>
          </cell>
          <cell r="U3">
            <v>1083062011</v>
          </cell>
          <cell r="V3">
            <v>1132767146</v>
          </cell>
          <cell r="W3">
            <v>1233719935</v>
          </cell>
          <cell r="X3">
            <v>915138492</v>
          </cell>
          <cell r="Y3">
            <v>912595530</v>
          </cell>
        </row>
        <row r="4">
          <cell r="A4" t="str">
            <v>Canada</v>
          </cell>
          <cell r="B4">
            <v>699525297</v>
          </cell>
          <cell r="C4">
            <v>712852129</v>
          </cell>
          <cell r="D4">
            <v>714282439</v>
          </cell>
          <cell r="E4">
            <v>816086575</v>
          </cell>
          <cell r="F4">
            <v>806405708</v>
          </cell>
          <cell r="G4">
            <v>643937488</v>
          </cell>
          <cell r="H4">
            <v>612767951</v>
          </cell>
          <cell r="I4">
            <v>450111047</v>
          </cell>
          <cell r="J4">
            <v>485893815</v>
          </cell>
          <cell r="K4">
            <v>481555195</v>
          </cell>
          <cell r="L4">
            <v>590146928</v>
          </cell>
          <cell r="M4">
            <v>790941867</v>
          </cell>
          <cell r="N4">
            <v>752525055</v>
          </cell>
          <cell r="O4">
            <v>876339577</v>
          </cell>
          <cell r="P4">
            <v>898232358</v>
          </cell>
          <cell r="Q4">
            <v>1069900522</v>
          </cell>
          <cell r="R4">
            <v>1108018211</v>
          </cell>
          <cell r="S4">
            <v>1022047528</v>
          </cell>
          <cell r="T4">
            <v>830452511</v>
          </cell>
          <cell r="U4">
            <v>1036041288</v>
          </cell>
          <cell r="V4">
            <v>1077537473</v>
          </cell>
          <cell r="W4">
            <v>1167492536</v>
          </cell>
          <cell r="X4">
            <v>861349445</v>
          </cell>
          <cell r="Y4">
            <v>847925312</v>
          </cell>
        </row>
        <row r="5">
          <cell r="A5" t="str">
            <v>Asia</v>
          </cell>
          <cell r="B5">
            <v>398571004</v>
          </cell>
          <cell r="C5">
            <v>394493178</v>
          </cell>
          <cell r="D5">
            <v>463292959</v>
          </cell>
          <cell r="E5">
            <v>440675800</v>
          </cell>
          <cell r="F5">
            <v>539620326</v>
          </cell>
          <cell r="G5">
            <v>510493448</v>
          </cell>
          <cell r="H5">
            <v>512420038</v>
          </cell>
          <cell r="I5">
            <v>404118837</v>
          </cell>
          <cell r="J5">
            <v>470923786</v>
          </cell>
          <cell r="K5">
            <v>564918249</v>
          </cell>
          <cell r="L5">
            <v>795720788</v>
          </cell>
          <cell r="M5">
            <v>717568265</v>
          </cell>
          <cell r="N5">
            <v>774615119</v>
          </cell>
          <cell r="O5">
            <v>845313305</v>
          </cell>
          <cell r="P5">
            <v>868227299</v>
          </cell>
          <cell r="Q5">
            <v>1001857678</v>
          </cell>
          <cell r="R5">
            <v>1059765721</v>
          </cell>
          <cell r="S5">
            <v>952080737</v>
          </cell>
          <cell r="T5">
            <v>877699361</v>
          </cell>
          <cell r="U5">
            <v>864395708</v>
          </cell>
          <cell r="V5">
            <v>876857247</v>
          </cell>
          <cell r="W5">
            <v>780715224</v>
          </cell>
          <cell r="X5">
            <v>842638504</v>
          </cell>
          <cell r="Y5">
            <v>764680238</v>
          </cell>
        </row>
        <row r="6">
          <cell r="A6" t="str">
            <v>Asia - Other</v>
          </cell>
          <cell r="B6">
            <v>393700580</v>
          </cell>
          <cell r="C6">
            <v>389242302</v>
          </cell>
          <cell r="D6">
            <v>458674801</v>
          </cell>
          <cell r="E6">
            <v>433520079</v>
          </cell>
          <cell r="F6">
            <v>532089298</v>
          </cell>
          <cell r="G6">
            <v>500019393</v>
          </cell>
          <cell r="H6">
            <v>505178823</v>
          </cell>
          <cell r="I6">
            <v>398862762</v>
          </cell>
          <cell r="J6">
            <v>466639428</v>
          </cell>
          <cell r="K6">
            <v>561805873</v>
          </cell>
          <cell r="L6">
            <v>789125486</v>
          </cell>
          <cell r="M6">
            <v>709091048</v>
          </cell>
          <cell r="N6">
            <v>765033387</v>
          </cell>
          <cell r="O6">
            <v>835546405</v>
          </cell>
          <cell r="P6">
            <v>857607467</v>
          </cell>
          <cell r="Q6">
            <v>987196806</v>
          </cell>
          <cell r="R6">
            <v>1035305674</v>
          </cell>
          <cell r="S6">
            <v>924537690</v>
          </cell>
          <cell r="T6">
            <v>859800118</v>
          </cell>
          <cell r="U6">
            <v>837876402</v>
          </cell>
          <cell r="V6">
            <v>846840590</v>
          </cell>
          <cell r="W6">
            <v>749936368</v>
          </cell>
          <cell r="X6">
            <v>814918642</v>
          </cell>
          <cell r="Y6">
            <v>731653747</v>
          </cell>
        </row>
        <row r="7">
          <cell r="A7" t="str">
            <v>Europe</v>
          </cell>
          <cell r="B7">
            <v>225595386</v>
          </cell>
          <cell r="C7">
            <v>262101793</v>
          </cell>
          <cell r="D7">
            <v>297545294</v>
          </cell>
          <cell r="E7">
            <v>316967398</v>
          </cell>
          <cell r="F7">
            <v>416034253</v>
          </cell>
          <cell r="G7">
            <v>350539154</v>
          </cell>
          <cell r="H7">
            <v>322170858</v>
          </cell>
          <cell r="I7">
            <v>226523719</v>
          </cell>
          <cell r="J7">
            <v>228622507</v>
          </cell>
          <cell r="K7">
            <v>325231696</v>
          </cell>
          <cell r="L7">
            <v>316322741</v>
          </cell>
          <cell r="M7">
            <v>376999430</v>
          </cell>
          <cell r="N7">
            <v>413492891</v>
          </cell>
          <cell r="O7">
            <v>391521961</v>
          </cell>
          <cell r="P7">
            <v>419434911</v>
          </cell>
          <cell r="Q7">
            <v>481448648</v>
          </cell>
          <cell r="R7">
            <v>509654733</v>
          </cell>
          <cell r="S7">
            <v>453152634</v>
          </cell>
          <cell r="T7">
            <v>424668257</v>
          </cell>
          <cell r="U7">
            <v>526213171</v>
          </cell>
          <cell r="V7">
            <v>596796148</v>
          </cell>
          <cell r="W7">
            <v>529753083</v>
          </cell>
          <cell r="X7">
            <v>539962899</v>
          </cell>
          <cell r="Y7">
            <v>602050970</v>
          </cell>
        </row>
        <row r="8">
          <cell r="A8" t="str">
            <v>China</v>
          </cell>
          <cell r="B8">
            <v>29879600</v>
          </cell>
          <cell r="C8">
            <v>40259173</v>
          </cell>
          <cell r="D8">
            <v>54417397</v>
          </cell>
          <cell r="E8">
            <v>79490233</v>
          </cell>
          <cell r="F8">
            <v>114999265</v>
          </cell>
          <cell r="G8">
            <v>154405673</v>
          </cell>
          <cell r="H8">
            <v>173185128</v>
          </cell>
          <cell r="I8">
            <v>145896185</v>
          </cell>
          <cell r="J8">
            <v>199886739</v>
          </cell>
          <cell r="K8">
            <v>253666552</v>
          </cell>
          <cell r="L8">
            <v>348863166</v>
          </cell>
          <cell r="M8">
            <v>374098446</v>
          </cell>
          <cell r="N8">
            <v>390700572</v>
          </cell>
          <cell r="O8">
            <v>470840955</v>
          </cell>
          <cell r="P8">
            <v>459629525</v>
          </cell>
          <cell r="Q8">
            <v>569272229</v>
          </cell>
          <cell r="R8">
            <v>599098208</v>
          </cell>
          <cell r="S8">
            <v>529885739</v>
          </cell>
          <cell r="T8">
            <v>402696976</v>
          </cell>
          <cell r="U8">
            <v>451202096</v>
          </cell>
          <cell r="V8">
            <v>440387246</v>
          </cell>
          <cell r="W8">
            <v>411787643</v>
          </cell>
          <cell r="X8">
            <v>363112963</v>
          </cell>
          <cell r="Y8">
            <v>352766466</v>
          </cell>
        </row>
        <row r="9">
          <cell r="A9" t="str">
            <v>Germany</v>
          </cell>
          <cell r="B9">
            <v>62861536</v>
          </cell>
          <cell r="C9">
            <v>76408373</v>
          </cell>
          <cell r="D9">
            <v>99483095</v>
          </cell>
          <cell r="E9">
            <v>137856211</v>
          </cell>
          <cell r="F9">
            <v>175353829</v>
          </cell>
          <cell r="G9">
            <v>161485759</v>
          </cell>
          <cell r="H9">
            <v>146955242</v>
          </cell>
          <cell r="I9">
            <v>85207560</v>
          </cell>
          <cell r="J9">
            <v>97893371</v>
          </cell>
          <cell r="K9">
            <v>135860045</v>
          </cell>
          <cell r="L9">
            <v>127573913</v>
          </cell>
          <cell r="M9">
            <v>157880752</v>
          </cell>
          <cell r="N9">
            <v>177513567</v>
          </cell>
          <cell r="O9">
            <v>158363520</v>
          </cell>
          <cell r="P9">
            <v>185354954</v>
          </cell>
          <cell r="Q9">
            <v>216522306</v>
          </cell>
          <cell r="R9">
            <v>209993120</v>
          </cell>
          <cell r="S9">
            <v>189719867</v>
          </cell>
          <cell r="T9">
            <v>152994621</v>
          </cell>
          <cell r="U9">
            <v>185670995</v>
          </cell>
          <cell r="V9">
            <v>217502439</v>
          </cell>
          <cell r="W9">
            <v>166841170</v>
          </cell>
          <cell r="X9">
            <v>175077504</v>
          </cell>
          <cell r="Y9">
            <v>189701442</v>
          </cell>
        </row>
        <row r="10">
          <cell r="A10" t="str">
            <v>Japan</v>
          </cell>
          <cell r="B10">
            <v>277520549</v>
          </cell>
          <cell r="C10">
            <v>254392330</v>
          </cell>
          <cell r="D10">
            <v>297111353</v>
          </cell>
          <cell r="E10">
            <v>233693149</v>
          </cell>
          <cell r="F10">
            <v>291596653</v>
          </cell>
          <cell r="G10">
            <v>232114555</v>
          </cell>
          <cell r="H10">
            <v>230744497</v>
          </cell>
          <cell r="I10">
            <v>151237075</v>
          </cell>
          <cell r="J10">
            <v>165575374</v>
          </cell>
          <cell r="K10">
            <v>201600327</v>
          </cell>
          <cell r="L10">
            <v>280956734</v>
          </cell>
          <cell r="M10">
            <v>195329669</v>
          </cell>
          <cell r="N10">
            <v>192441310</v>
          </cell>
          <cell r="O10">
            <v>166110469</v>
          </cell>
          <cell r="P10">
            <v>240304081</v>
          </cell>
          <cell r="Q10">
            <v>214522132</v>
          </cell>
          <cell r="R10">
            <v>214841805</v>
          </cell>
          <cell r="S10">
            <v>193310884</v>
          </cell>
          <cell r="T10">
            <v>168458965</v>
          </cell>
          <cell r="U10">
            <v>161389402</v>
          </cell>
          <cell r="V10">
            <v>166901790</v>
          </cell>
          <cell r="W10">
            <v>100912633</v>
          </cell>
          <cell r="X10">
            <v>124666192</v>
          </cell>
          <cell r="Y10">
            <v>133035956</v>
          </cell>
        </row>
        <row r="11">
          <cell r="A11" t="str">
            <v>Korea, South</v>
          </cell>
          <cell r="B11">
            <v>30056875</v>
          </cell>
          <cell r="C11">
            <v>26909529</v>
          </cell>
          <cell r="D11">
            <v>38283576</v>
          </cell>
          <cell r="E11">
            <v>45934449</v>
          </cell>
          <cell r="F11">
            <v>46326133</v>
          </cell>
          <cell r="G11">
            <v>47063555</v>
          </cell>
          <cell r="H11">
            <v>28539682</v>
          </cell>
          <cell r="I11">
            <v>54322369</v>
          </cell>
          <cell r="J11">
            <v>51137001</v>
          </cell>
          <cell r="K11">
            <v>40262822</v>
          </cell>
          <cell r="L11">
            <v>90290280</v>
          </cell>
          <cell r="M11">
            <v>69126425</v>
          </cell>
          <cell r="N11">
            <v>105918204</v>
          </cell>
          <cell r="O11">
            <v>122556735</v>
          </cell>
          <cell r="P11">
            <v>84560218</v>
          </cell>
          <cell r="Q11">
            <v>122994134</v>
          </cell>
          <cell r="R11">
            <v>147360287</v>
          </cell>
          <cell r="S11">
            <v>124476325</v>
          </cell>
          <cell r="T11">
            <v>189247616</v>
          </cell>
          <cell r="U11">
            <v>114799485</v>
          </cell>
          <cell r="V11">
            <v>115763345</v>
          </cell>
          <cell r="W11">
            <v>124424298</v>
          </cell>
          <cell r="X11">
            <v>212943442</v>
          </cell>
          <cell r="Y11">
            <v>128854837</v>
          </cell>
        </row>
        <row r="12">
          <cell r="A12" t="str">
            <v>Italy</v>
          </cell>
          <cell r="B12">
            <v>37147875</v>
          </cell>
          <cell r="C12">
            <v>35833833</v>
          </cell>
          <cell r="D12">
            <v>31857210</v>
          </cell>
          <cell r="E12">
            <v>29954522</v>
          </cell>
          <cell r="F12">
            <v>31787882</v>
          </cell>
          <cell r="G12">
            <v>28522519</v>
          </cell>
          <cell r="H12">
            <v>29694102</v>
          </cell>
          <cell r="I12">
            <v>17726094</v>
          </cell>
          <cell r="J12">
            <v>23298207</v>
          </cell>
          <cell r="K12">
            <v>40526650</v>
          </cell>
          <cell r="L12">
            <v>43492686</v>
          </cell>
          <cell r="M12">
            <v>48155675</v>
          </cell>
          <cell r="N12">
            <v>45168773</v>
          </cell>
          <cell r="O12">
            <v>53950664</v>
          </cell>
          <cell r="P12">
            <v>53889116</v>
          </cell>
          <cell r="Q12">
            <v>65559735</v>
          </cell>
          <cell r="R12">
            <v>70862543</v>
          </cell>
          <cell r="S12">
            <v>61009116</v>
          </cell>
          <cell r="T12">
            <v>57934604</v>
          </cell>
          <cell r="U12">
            <v>85426889</v>
          </cell>
          <cell r="V12">
            <v>84896381</v>
          </cell>
          <cell r="W12">
            <v>92092168</v>
          </cell>
          <cell r="X12">
            <v>79343638</v>
          </cell>
          <cell r="Y12">
            <v>75361359</v>
          </cell>
        </row>
        <row r="13">
          <cell r="A13" t="str">
            <v>Netherlands</v>
          </cell>
          <cell r="B13">
            <v>6717090</v>
          </cell>
          <cell r="C13">
            <v>9134775</v>
          </cell>
          <cell r="D13">
            <v>14332219</v>
          </cell>
          <cell r="E13">
            <v>12738098</v>
          </cell>
          <cell r="F13">
            <v>9214937</v>
          </cell>
          <cell r="G13">
            <v>11244317</v>
          </cell>
          <cell r="H13">
            <v>9283990</v>
          </cell>
          <cell r="I13">
            <v>4033048</v>
          </cell>
          <cell r="J13">
            <v>4955857</v>
          </cell>
          <cell r="K13">
            <v>5175778</v>
          </cell>
          <cell r="L13">
            <v>5190571</v>
          </cell>
          <cell r="M13">
            <v>4973650</v>
          </cell>
          <cell r="N13">
            <v>9969357</v>
          </cell>
          <cell r="O13">
            <v>2722808</v>
          </cell>
          <cell r="P13">
            <v>6873240</v>
          </cell>
          <cell r="Q13">
            <v>6137296</v>
          </cell>
          <cell r="R13">
            <v>6187287</v>
          </cell>
          <cell r="S13">
            <v>5332286</v>
          </cell>
          <cell r="T13">
            <v>7486052</v>
          </cell>
          <cell r="U13">
            <v>13446851</v>
          </cell>
          <cell r="V13">
            <v>14299347</v>
          </cell>
          <cell r="W13">
            <v>12751327</v>
          </cell>
          <cell r="X13">
            <v>28965090</v>
          </cell>
          <cell r="Y13">
            <v>69024266</v>
          </cell>
        </row>
        <row r="14">
          <cell r="A14" t="str">
            <v>Mexico</v>
          </cell>
          <cell r="B14">
            <v>7900155</v>
          </cell>
          <cell r="C14">
            <v>5903346</v>
          </cell>
          <cell r="D14">
            <v>15937573</v>
          </cell>
          <cell r="E14">
            <v>15865528</v>
          </cell>
          <cell r="F14">
            <v>19224445</v>
          </cell>
          <cell r="G14">
            <v>9869619</v>
          </cell>
          <cell r="H14">
            <v>12041923</v>
          </cell>
          <cell r="I14">
            <v>14242157</v>
          </cell>
          <cell r="J14">
            <v>12220326</v>
          </cell>
          <cell r="K14">
            <v>16295125</v>
          </cell>
          <cell r="L14">
            <v>19629095</v>
          </cell>
          <cell r="M14">
            <v>29545894</v>
          </cell>
          <cell r="N14">
            <v>45749788</v>
          </cell>
          <cell r="O14">
            <v>32634968</v>
          </cell>
          <cell r="P14">
            <v>21317131</v>
          </cell>
          <cell r="Q14">
            <v>29749999</v>
          </cell>
          <cell r="R14">
            <v>28522073</v>
          </cell>
          <cell r="S14">
            <v>27928151</v>
          </cell>
          <cell r="T14">
            <v>31033278</v>
          </cell>
          <cell r="U14">
            <v>47020723</v>
          </cell>
          <cell r="V14">
            <v>55229673</v>
          </cell>
          <cell r="W14">
            <v>66227399</v>
          </cell>
          <cell r="X14">
            <v>53789047</v>
          </cell>
          <cell r="Y14">
            <v>64670218</v>
          </cell>
        </row>
        <row r="15">
          <cell r="A15" t="str">
            <v>Austria</v>
          </cell>
          <cell r="B15">
            <v>8264350</v>
          </cell>
          <cell r="C15">
            <v>13544508</v>
          </cell>
          <cell r="D15">
            <v>10871948</v>
          </cell>
          <cell r="E15">
            <v>15158795</v>
          </cell>
          <cell r="F15">
            <v>40575978</v>
          </cell>
          <cell r="G15">
            <v>16053348</v>
          </cell>
          <cell r="H15">
            <v>21041386</v>
          </cell>
          <cell r="I15">
            <v>16601931</v>
          </cell>
          <cell r="J15">
            <v>9027241</v>
          </cell>
          <cell r="K15">
            <v>20867341</v>
          </cell>
          <cell r="L15">
            <v>21144450</v>
          </cell>
          <cell r="M15">
            <v>22931478</v>
          </cell>
          <cell r="N15">
            <v>25401461</v>
          </cell>
          <cell r="O15">
            <v>26649289</v>
          </cell>
          <cell r="P15">
            <v>36080785</v>
          </cell>
          <cell r="Q15">
            <v>34849668</v>
          </cell>
          <cell r="R15">
            <v>35396992</v>
          </cell>
          <cell r="S15">
            <v>25370475</v>
          </cell>
          <cell r="T15">
            <v>34059656</v>
          </cell>
          <cell r="U15">
            <v>35063884</v>
          </cell>
          <cell r="V15">
            <v>34943239</v>
          </cell>
          <cell r="W15">
            <v>33231073</v>
          </cell>
          <cell r="X15">
            <v>35921658</v>
          </cell>
          <cell r="Y15">
            <v>52767204</v>
          </cell>
        </row>
        <row r="16">
          <cell r="A16" t="str">
            <v>Thailand</v>
          </cell>
          <cell r="B16">
            <v>1272802</v>
          </cell>
          <cell r="C16">
            <v>1706528</v>
          </cell>
          <cell r="D16">
            <v>3197885</v>
          </cell>
          <cell r="E16">
            <v>1344742</v>
          </cell>
          <cell r="F16">
            <v>3700729</v>
          </cell>
          <cell r="G16">
            <v>4972239</v>
          </cell>
          <cell r="H16">
            <v>5724782</v>
          </cell>
          <cell r="I16">
            <v>3143317</v>
          </cell>
          <cell r="J16">
            <v>4041225</v>
          </cell>
          <cell r="K16">
            <v>5459243</v>
          </cell>
          <cell r="L16">
            <v>6764825</v>
          </cell>
          <cell r="M16">
            <v>4676572</v>
          </cell>
          <cell r="N16">
            <v>5353391</v>
          </cell>
          <cell r="O16">
            <v>4071083</v>
          </cell>
          <cell r="P16">
            <v>4655035</v>
          </cell>
          <cell r="Q16">
            <v>5063633</v>
          </cell>
          <cell r="R16">
            <v>3845733</v>
          </cell>
          <cell r="S16">
            <v>7164773</v>
          </cell>
          <cell r="T16">
            <v>29536927</v>
          </cell>
          <cell r="U16">
            <v>39293170</v>
          </cell>
          <cell r="V16">
            <v>46514646</v>
          </cell>
          <cell r="W16">
            <v>45059548</v>
          </cell>
          <cell r="X16">
            <v>43451105</v>
          </cell>
          <cell r="Y16">
            <v>44930058</v>
          </cell>
        </row>
        <row r="17">
          <cell r="A17" t="str">
            <v>Taiwan</v>
          </cell>
          <cell r="B17">
            <v>35961086</v>
          </cell>
          <cell r="C17">
            <v>47049368</v>
          </cell>
          <cell r="D17">
            <v>47996448</v>
          </cell>
          <cell r="E17">
            <v>54791179</v>
          </cell>
          <cell r="F17">
            <v>55451607</v>
          </cell>
          <cell r="G17">
            <v>39792621</v>
          </cell>
          <cell r="H17">
            <v>42433228</v>
          </cell>
          <cell r="I17">
            <v>27978009</v>
          </cell>
          <cell r="J17">
            <v>30168154</v>
          </cell>
          <cell r="K17">
            <v>37403598</v>
          </cell>
          <cell r="L17">
            <v>39904116</v>
          </cell>
          <cell r="M17">
            <v>44625070</v>
          </cell>
          <cell r="N17">
            <v>47148556</v>
          </cell>
          <cell r="O17">
            <v>47266929</v>
          </cell>
          <cell r="P17">
            <v>45441322</v>
          </cell>
          <cell r="Q17">
            <v>48909040</v>
          </cell>
          <cell r="R17">
            <v>44744275</v>
          </cell>
          <cell r="S17">
            <v>49597259</v>
          </cell>
          <cell r="T17">
            <v>46687121</v>
          </cell>
          <cell r="U17">
            <v>46371491</v>
          </cell>
          <cell r="V17">
            <v>55169895</v>
          </cell>
          <cell r="W17">
            <v>37998030</v>
          </cell>
          <cell r="X17">
            <v>42328848</v>
          </cell>
          <cell r="Y17">
            <v>38822567</v>
          </cell>
        </row>
        <row r="18">
          <cell r="A18" t="str">
            <v>Portugal</v>
          </cell>
          <cell r="B18">
            <v>31517664</v>
          </cell>
          <cell r="C18">
            <v>46123225</v>
          </cell>
          <cell r="D18">
            <v>33576529</v>
          </cell>
          <cell r="E18">
            <v>24990235</v>
          </cell>
          <cell r="F18">
            <v>32439904</v>
          </cell>
          <cell r="G18">
            <v>21545573</v>
          </cell>
          <cell r="H18">
            <v>12464105</v>
          </cell>
          <cell r="I18">
            <v>13334396</v>
          </cell>
          <cell r="J18">
            <v>13225767</v>
          </cell>
          <cell r="K18">
            <v>13594009</v>
          </cell>
          <cell r="L18">
            <v>13640180</v>
          </cell>
          <cell r="M18">
            <v>23253297</v>
          </cell>
          <cell r="N18">
            <v>23978582</v>
          </cell>
          <cell r="O18">
            <v>16063471</v>
          </cell>
          <cell r="P18">
            <v>15869273</v>
          </cell>
          <cell r="Q18">
            <v>21800514</v>
          </cell>
          <cell r="R18">
            <v>28906639</v>
          </cell>
          <cell r="S18">
            <v>17267426</v>
          </cell>
          <cell r="T18">
            <v>12014096</v>
          </cell>
          <cell r="U18">
            <v>25696562</v>
          </cell>
          <cell r="V18">
            <v>28158992</v>
          </cell>
          <cell r="W18">
            <v>27996927</v>
          </cell>
          <cell r="X18">
            <v>42065975</v>
          </cell>
          <cell r="Y18">
            <v>35688078</v>
          </cell>
        </row>
        <row r="19">
          <cell r="A19" t="str">
            <v>Asia - South</v>
          </cell>
          <cell r="B19">
            <v>2077138</v>
          </cell>
          <cell r="C19">
            <v>3401023</v>
          </cell>
          <cell r="D19">
            <v>2304537</v>
          </cell>
          <cell r="E19">
            <v>4510684</v>
          </cell>
          <cell r="F19">
            <v>6526715</v>
          </cell>
          <cell r="G19">
            <v>5850770</v>
          </cell>
          <cell r="H19">
            <v>2957936</v>
          </cell>
          <cell r="I19">
            <v>3682550</v>
          </cell>
          <cell r="J19">
            <v>2202177</v>
          </cell>
          <cell r="K19">
            <v>2313342</v>
          </cell>
          <cell r="L19">
            <v>5442040</v>
          </cell>
          <cell r="M19">
            <v>6692490</v>
          </cell>
          <cell r="N19">
            <v>7289888</v>
          </cell>
          <cell r="O19">
            <v>8562373</v>
          </cell>
          <cell r="P19">
            <v>9803398</v>
          </cell>
          <cell r="Q19">
            <v>12541431</v>
          </cell>
          <cell r="R19">
            <v>21202751</v>
          </cell>
          <cell r="S19">
            <v>25767460</v>
          </cell>
          <cell r="T19">
            <v>15758980</v>
          </cell>
          <cell r="U19">
            <v>24672748</v>
          </cell>
          <cell r="V19">
            <v>28311727</v>
          </cell>
          <cell r="W19">
            <v>28643304</v>
          </cell>
          <cell r="X19">
            <v>26304894</v>
          </cell>
          <cell r="Y19">
            <v>31414802</v>
          </cell>
        </row>
        <row r="20">
          <cell r="A20" t="str">
            <v>India</v>
          </cell>
          <cell r="B20">
            <v>2073638</v>
          </cell>
          <cell r="C20">
            <v>3319556</v>
          </cell>
          <cell r="D20">
            <v>2215825</v>
          </cell>
          <cell r="E20">
            <v>4486443</v>
          </cell>
          <cell r="F20">
            <v>6526715</v>
          </cell>
          <cell r="G20">
            <v>5747279</v>
          </cell>
          <cell r="H20">
            <v>2927884</v>
          </cell>
          <cell r="I20">
            <v>3377708</v>
          </cell>
          <cell r="J20">
            <v>2125006</v>
          </cell>
          <cell r="K20">
            <v>2309842</v>
          </cell>
          <cell r="L20">
            <v>5415157</v>
          </cell>
          <cell r="M20">
            <v>6435376</v>
          </cell>
          <cell r="N20">
            <v>7211808</v>
          </cell>
          <cell r="O20">
            <v>8445822</v>
          </cell>
          <cell r="P20">
            <v>9729154</v>
          </cell>
          <cell r="Q20">
            <v>12322460</v>
          </cell>
          <cell r="R20">
            <v>21193346</v>
          </cell>
          <cell r="S20">
            <v>25618900</v>
          </cell>
          <cell r="T20">
            <v>15724633</v>
          </cell>
          <cell r="U20">
            <v>24603772</v>
          </cell>
          <cell r="V20">
            <v>28288966</v>
          </cell>
          <cell r="W20">
            <v>28629949</v>
          </cell>
          <cell r="X20">
            <v>26270647</v>
          </cell>
          <cell r="Y20">
            <v>31344012</v>
          </cell>
        </row>
        <row r="21">
          <cell r="A21" t="str">
            <v>Switzerland</v>
          </cell>
          <cell r="B21">
            <v>4624338</v>
          </cell>
          <cell r="C21">
            <v>6737228</v>
          </cell>
          <cell r="D21">
            <v>11454236</v>
          </cell>
          <cell r="E21">
            <v>9865331</v>
          </cell>
          <cell r="F21">
            <v>17673120</v>
          </cell>
          <cell r="G21">
            <v>8168584</v>
          </cell>
          <cell r="H21">
            <v>8824371</v>
          </cell>
          <cell r="I21">
            <v>11178068</v>
          </cell>
          <cell r="J21">
            <v>10365424</v>
          </cell>
          <cell r="K21">
            <v>9325712</v>
          </cell>
          <cell r="L21">
            <v>11310861</v>
          </cell>
          <cell r="M21">
            <v>12458168</v>
          </cell>
          <cell r="N21">
            <v>14039223</v>
          </cell>
          <cell r="O21">
            <v>14640929</v>
          </cell>
          <cell r="P21">
            <v>11399573</v>
          </cell>
          <cell r="Q21">
            <v>21861178</v>
          </cell>
          <cell r="R21">
            <v>26406533</v>
          </cell>
          <cell r="S21">
            <v>24110110</v>
          </cell>
          <cell r="T21">
            <v>21557133</v>
          </cell>
          <cell r="U21">
            <v>30286834</v>
          </cell>
          <cell r="V21">
            <v>51863612</v>
          </cell>
          <cell r="W21">
            <v>32436553</v>
          </cell>
          <cell r="X21">
            <v>28078705</v>
          </cell>
          <cell r="Y21">
            <v>28623680</v>
          </cell>
        </row>
        <row r="22">
          <cell r="A22" t="str">
            <v>United Kingdom</v>
          </cell>
          <cell r="B22">
            <v>16748538</v>
          </cell>
          <cell r="C22">
            <v>14159609</v>
          </cell>
          <cell r="D22">
            <v>18377439</v>
          </cell>
          <cell r="E22">
            <v>16674921</v>
          </cell>
          <cell r="F22">
            <v>22953921</v>
          </cell>
          <cell r="G22">
            <v>21940391</v>
          </cell>
          <cell r="H22">
            <v>22757732</v>
          </cell>
          <cell r="I22">
            <v>16454180</v>
          </cell>
          <cell r="J22">
            <v>13493043</v>
          </cell>
          <cell r="K22">
            <v>18943039</v>
          </cell>
          <cell r="L22">
            <v>14688515</v>
          </cell>
          <cell r="M22">
            <v>18180254</v>
          </cell>
          <cell r="N22">
            <v>24230936</v>
          </cell>
          <cell r="O22">
            <v>23606797</v>
          </cell>
          <cell r="P22">
            <v>22368888</v>
          </cell>
          <cell r="Q22">
            <v>17640637</v>
          </cell>
          <cell r="R22">
            <v>16100110</v>
          </cell>
          <cell r="S22">
            <v>20713911</v>
          </cell>
          <cell r="T22">
            <v>20152003</v>
          </cell>
          <cell r="U22">
            <v>20040476</v>
          </cell>
          <cell r="V22">
            <v>20085428</v>
          </cell>
          <cell r="W22">
            <v>23740664</v>
          </cell>
          <cell r="X22">
            <v>19479822</v>
          </cell>
          <cell r="Y22">
            <v>26276700</v>
          </cell>
        </row>
        <row r="23">
          <cell r="A23" t="str">
            <v>France</v>
          </cell>
          <cell r="B23">
            <v>30821287</v>
          </cell>
          <cell r="C23">
            <v>29233911</v>
          </cell>
          <cell r="D23">
            <v>33029984</v>
          </cell>
          <cell r="E23">
            <v>34758003</v>
          </cell>
          <cell r="F23">
            <v>46758307</v>
          </cell>
          <cell r="G23">
            <v>37514658</v>
          </cell>
          <cell r="H23">
            <v>29067621</v>
          </cell>
          <cell r="I23">
            <v>22307868</v>
          </cell>
          <cell r="J23">
            <v>17848144</v>
          </cell>
          <cell r="K23">
            <v>25982256</v>
          </cell>
          <cell r="L23">
            <v>35629113</v>
          </cell>
          <cell r="M23">
            <v>30343550</v>
          </cell>
          <cell r="N23">
            <v>26732828</v>
          </cell>
          <cell r="O23">
            <v>28132452</v>
          </cell>
          <cell r="P23">
            <v>21701890</v>
          </cell>
          <cell r="Q23">
            <v>22109441</v>
          </cell>
          <cell r="R23">
            <v>24423223</v>
          </cell>
          <cell r="S23">
            <v>22967774</v>
          </cell>
          <cell r="T23">
            <v>29217151</v>
          </cell>
          <cell r="U23">
            <v>26001412</v>
          </cell>
          <cell r="V23">
            <v>23236410</v>
          </cell>
          <cell r="W23">
            <v>24725061</v>
          </cell>
          <cell r="X23">
            <v>31238353</v>
          </cell>
          <cell r="Y23">
            <v>24343826</v>
          </cell>
        </row>
        <row r="24">
          <cell r="A24" t="str">
            <v>Spain</v>
          </cell>
          <cell r="B24">
            <v>3336397</v>
          </cell>
          <cell r="C24">
            <v>3733356</v>
          </cell>
          <cell r="D24">
            <v>11097030</v>
          </cell>
          <cell r="E24">
            <v>5055632</v>
          </cell>
          <cell r="F24">
            <v>9266227</v>
          </cell>
          <cell r="G24">
            <v>5307736</v>
          </cell>
          <cell r="H24">
            <v>4927773</v>
          </cell>
          <cell r="I24">
            <v>10799463</v>
          </cell>
          <cell r="J24">
            <v>2826261</v>
          </cell>
          <cell r="K24">
            <v>12431615</v>
          </cell>
          <cell r="L24">
            <v>7610764</v>
          </cell>
          <cell r="M24">
            <v>10725659</v>
          </cell>
          <cell r="N24">
            <v>17128643</v>
          </cell>
          <cell r="O24">
            <v>12101133</v>
          </cell>
          <cell r="P24">
            <v>10955292</v>
          </cell>
          <cell r="Q24">
            <v>7553033</v>
          </cell>
          <cell r="R24">
            <v>13209663</v>
          </cell>
          <cell r="S24">
            <v>10224124</v>
          </cell>
          <cell r="T24">
            <v>12049223</v>
          </cell>
          <cell r="U24">
            <v>17548181</v>
          </cell>
          <cell r="V24">
            <v>19990078</v>
          </cell>
          <cell r="W24">
            <v>13457449</v>
          </cell>
          <cell r="X24">
            <v>15519212</v>
          </cell>
          <cell r="Y24">
            <v>22832270</v>
          </cell>
        </row>
        <row r="25">
          <cell r="A25" t="str">
            <v>Croatia</v>
          </cell>
          <cell r="D25">
            <v>67549</v>
          </cell>
          <cell r="E25">
            <v>59399</v>
          </cell>
          <cell r="F25">
            <v>181246</v>
          </cell>
          <cell r="G25">
            <v>108345</v>
          </cell>
          <cell r="H25">
            <v>742254</v>
          </cell>
          <cell r="I25">
            <v>593602</v>
          </cell>
          <cell r="J25">
            <v>216494</v>
          </cell>
          <cell r="K25">
            <v>921243</v>
          </cell>
          <cell r="L25">
            <v>2438883</v>
          </cell>
          <cell r="M25">
            <v>5156448</v>
          </cell>
          <cell r="N25">
            <v>8061904</v>
          </cell>
          <cell r="O25">
            <v>13845205</v>
          </cell>
          <cell r="P25">
            <v>14691469</v>
          </cell>
          <cell r="Q25">
            <v>17892646</v>
          </cell>
          <cell r="R25">
            <v>17687090</v>
          </cell>
          <cell r="S25">
            <v>22197736</v>
          </cell>
          <cell r="T25">
            <v>20382952</v>
          </cell>
          <cell r="U25">
            <v>27691729</v>
          </cell>
          <cell r="V25">
            <v>30499143</v>
          </cell>
          <cell r="W25">
            <v>25962474</v>
          </cell>
          <cell r="X25">
            <v>22619167</v>
          </cell>
          <cell r="Y25">
            <v>21410325</v>
          </cell>
        </row>
        <row r="26">
          <cell r="A26" t="str">
            <v>Poland</v>
          </cell>
          <cell r="B26">
            <v>1116191</v>
          </cell>
          <cell r="C26">
            <v>1475168</v>
          </cell>
          <cell r="D26">
            <v>1804587</v>
          </cell>
          <cell r="E26">
            <v>3957664</v>
          </cell>
          <cell r="F26">
            <v>3810287</v>
          </cell>
          <cell r="G26">
            <v>4017020</v>
          </cell>
          <cell r="H26">
            <v>2022091</v>
          </cell>
          <cell r="I26">
            <v>898823</v>
          </cell>
          <cell r="J26">
            <v>1251664</v>
          </cell>
          <cell r="K26">
            <v>1844518</v>
          </cell>
          <cell r="L26">
            <v>2776545</v>
          </cell>
          <cell r="M26">
            <v>3260278</v>
          </cell>
          <cell r="N26">
            <v>3827436</v>
          </cell>
          <cell r="O26">
            <v>2880802</v>
          </cell>
          <cell r="P26">
            <v>5020670</v>
          </cell>
          <cell r="Q26">
            <v>5133863</v>
          </cell>
          <cell r="R26">
            <v>4630608</v>
          </cell>
          <cell r="S26">
            <v>6969535</v>
          </cell>
          <cell r="T26">
            <v>6304023</v>
          </cell>
          <cell r="U26">
            <v>8617546</v>
          </cell>
          <cell r="V26">
            <v>11677014</v>
          </cell>
          <cell r="W26">
            <v>14933160</v>
          </cell>
          <cell r="X26">
            <v>12181311</v>
          </cell>
          <cell r="Y26">
            <v>12536144</v>
          </cell>
        </row>
        <row r="27">
          <cell r="A27" t="str">
            <v>Malaysia</v>
          </cell>
          <cell r="B27">
            <v>1902057</v>
          </cell>
          <cell r="C27">
            <v>2077837</v>
          </cell>
          <cell r="D27">
            <v>2141894</v>
          </cell>
          <cell r="E27">
            <v>1990860</v>
          </cell>
          <cell r="F27">
            <v>2746866</v>
          </cell>
          <cell r="G27">
            <v>2855524</v>
          </cell>
          <cell r="H27">
            <v>4065699</v>
          </cell>
          <cell r="I27">
            <v>2123453</v>
          </cell>
          <cell r="J27">
            <v>2613012</v>
          </cell>
          <cell r="K27">
            <v>2078405</v>
          </cell>
          <cell r="L27">
            <v>3134390</v>
          </cell>
          <cell r="M27">
            <v>2479987</v>
          </cell>
          <cell r="N27">
            <v>3640702</v>
          </cell>
          <cell r="O27">
            <v>3119339</v>
          </cell>
          <cell r="P27">
            <v>2886323</v>
          </cell>
          <cell r="Q27">
            <v>3533798</v>
          </cell>
          <cell r="R27">
            <v>2501611</v>
          </cell>
          <cell r="S27">
            <v>4182633</v>
          </cell>
          <cell r="T27">
            <v>3729844</v>
          </cell>
          <cell r="U27">
            <v>4920458</v>
          </cell>
          <cell r="V27">
            <v>6805013</v>
          </cell>
          <cell r="W27">
            <v>6982079</v>
          </cell>
          <cell r="X27">
            <v>9022971</v>
          </cell>
          <cell r="Y27">
            <v>10642976</v>
          </cell>
        </row>
        <row r="28">
          <cell r="A28" t="str">
            <v>Czech Republic</v>
          </cell>
          <cell r="B28">
            <v>3168773</v>
          </cell>
          <cell r="C28">
            <v>5519981</v>
          </cell>
          <cell r="D28">
            <v>3109045</v>
          </cell>
          <cell r="E28">
            <v>2749785</v>
          </cell>
          <cell r="F28">
            <v>1271023</v>
          </cell>
          <cell r="G28">
            <v>2099148</v>
          </cell>
          <cell r="H28">
            <v>1768426</v>
          </cell>
          <cell r="I28">
            <v>793871</v>
          </cell>
          <cell r="J28">
            <v>1200774</v>
          </cell>
          <cell r="K28">
            <v>1992121</v>
          </cell>
          <cell r="L28">
            <v>2130041</v>
          </cell>
          <cell r="M28">
            <v>5388417</v>
          </cell>
          <cell r="N28">
            <v>4398455</v>
          </cell>
          <cell r="O28">
            <v>7467790</v>
          </cell>
          <cell r="P28">
            <v>5042725</v>
          </cell>
          <cell r="Q28">
            <v>6753588</v>
          </cell>
          <cell r="R28">
            <v>11589381</v>
          </cell>
          <cell r="S28">
            <v>6120899</v>
          </cell>
          <cell r="T28">
            <v>6707653</v>
          </cell>
          <cell r="U28">
            <v>8945585</v>
          </cell>
          <cell r="V28">
            <v>8546924</v>
          </cell>
          <cell r="W28">
            <v>7832115</v>
          </cell>
          <cell r="X28">
            <v>7241926</v>
          </cell>
          <cell r="Y28">
            <v>9534538</v>
          </cell>
        </row>
        <row r="29">
          <cell r="A29" t="str">
            <v>South/Central America</v>
          </cell>
          <cell r="B29">
            <v>4893766</v>
          </cell>
          <cell r="C29">
            <v>6882053</v>
          </cell>
          <cell r="D29">
            <v>10025912</v>
          </cell>
          <cell r="E29">
            <v>8613264</v>
          </cell>
          <cell r="F29">
            <v>13944760</v>
          </cell>
          <cell r="G29">
            <v>19175170</v>
          </cell>
          <cell r="H29">
            <v>18980886</v>
          </cell>
          <cell r="I29">
            <v>17354778</v>
          </cell>
          <cell r="J29">
            <v>17196211</v>
          </cell>
          <cell r="K29">
            <v>17923903</v>
          </cell>
          <cell r="L29">
            <v>13671564</v>
          </cell>
          <cell r="M29">
            <v>22520677</v>
          </cell>
          <cell r="N29">
            <v>13350025</v>
          </cell>
          <cell r="O29">
            <v>14928780</v>
          </cell>
          <cell r="P29">
            <v>12080325</v>
          </cell>
          <cell r="Q29">
            <v>11657991</v>
          </cell>
          <cell r="R29">
            <v>12084244</v>
          </cell>
          <cell r="S29">
            <v>9714458</v>
          </cell>
          <cell r="T29">
            <v>6113853</v>
          </cell>
          <cell r="U29">
            <v>5458027</v>
          </cell>
          <cell r="V29">
            <v>13243429</v>
          </cell>
          <cell r="W29">
            <v>7716240</v>
          </cell>
          <cell r="X29">
            <v>8074089</v>
          </cell>
          <cell r="Y29">
            <v>8215359</v>
          </cell>
        </row>
        <row r="30">
          <cell r="A30" t="str">
            <v>Singapore</v>
          </cell>
          <cell r="B30">
            <v>7373473</v>
          </cell>
          <cell r="C30">
            <v>6012283</v>
          </cell>
          <cell r="D30">
            <v>6409516</v>
          </cell>
          <cell r="E30">
            <v>6316301</v>
          </cell>
          <cell r="F30">
            <v>8353503</v>
          </cell>
          <cell r="G30">
            <v>8278676</v>
          </cell>
          <cell r="H30">
            <v>8894656</v>
          </cell>
          <cell r="I30">
            <v>5214190</v>
          </cell>
          <cell r="J30">
            <v>3935093</v>
          </cell>
          <cell r="K30">
            <v>7022025</v>
          </cell>
          <cell r="L30">
            <v>8304145</v>
          </cell>
          <cell r="M30">
            <v>5929432</v>
          </cell>
          <cell r="N30">
            <v>6773505</v>
          </cell>
          <cell r="O30">
            <v>9679541</v>
          </cell>
          <cell r="P30">
            <v>9486775</v>
          </cell>
          <cell r="Q30">
            <v>9204075</v>
          </cell>
          <cell r="R30">
            <v>6938719</v>
          </cell>
          <cell r="S30">
            <v>8007060</v>
          </cell>
          <cell r="T30">
            <v>9003908</v>
          </cell>
          <cell r="U30">
            <v>9086250</v>
          </cell>
          <cell r="V30">
            <v>6062330</v>
          </cell>
          <cell r="W30">
            <v>10487425</v>
          </cell>
          <cell r="X30">
            <v>8178460</v>
          </cell>
          <cell r="Y30">
            <v>8085336</v>
          </cell>
        </row>
        <row r="31">
          <cell r="A31" t="str">
            <v>Vietnam</v>
          </cell>
          <cell r="B31">
            <v>15723</v>
          </cell>
          <cell r="C31">
            <v>9250</v>
          </cell>
          <cell r="D31">
            <v>3290</v>
          </cell>
          <cell r="E31">
            <v>37630</v>
          </cell>
          <cell r="F31">
            <v>16500</v>
          </cell>
          <cell r="G31">
            <v>101032</v>
          </cell>
          <cell r="H31">
            <v>435611</v>
          </cell>
          <cell r="I31">
            <v>331653</v>
          </cell>
          <cell r="J31">
            <v>197786</v>
          </cell>
          <cell r="K31">
            <v>247603</v>
          </cell>
          <cell r="L31">
            <v>478564</v>
          </cell>
          <cell r="M31">
            <v>710697</v>
          </cell>
          <cell r="N31">
            <v>692172</v>
          </cell>
          <cell r="O31">
            <v>1205463</v>
          </cell>
          <cell r="P31">
            <v>1455265</v>
          </cell>
          <cell r="Q31">
            <v>1176309</v>
          </cell>
          <cell r="R31">
            <v>1815638</v>
          </cell>
          <cell r="S31">
            <v>2429126</v>
          </cell>
          <cell r="T31">
            <v>3554000</v>
          </cell>
          <cell r="U31">
            <v>3702875</v>
          </cell>
          <cell r="V31">
            <v>3818105</v>
          </cell>
          <cell r="W31">
            <v>5077914</v>
          </cell>
          <cell r="X31">
            <v>5652647</v>
          </cell>
          <cell r="Y31">
            <v>7459776</v>
          </cell>
        </row>
        <row r="32">
          <cell r="A32" t="str">
            <v>South America</v>
          </cell>
          <cell r="B32">
            <v>4662129</v>
          </cell>
          <cell r="C32">
            <v>6350776</v>
          </cell>
          <cell r="D32">
            <v>9637424</v>
          </cell>
          <cell r="E32">
            <v>7892258</v>
          </cell>
          <cell r="F32">
            <v>12999394</v>
          </cell>
          <cell r="G32">
            <v>17510639</v>
          </cell>
          <cell r="H32">
            <v>18087200</v>
          </cell>
          <cell r="I32">
            <v>16865749</v>
          </cell>
          <cell r="J32">
            <v>16534985</v>
          </cell>
          <cell r="K32">
            <v>17005729</v>
          </cell>
          <cell r="L32">
            <v>12840593</v>
          </cell>
          <cell r="M32">
            <v>21495517</v>
          </cell>
          <cell r="N32">
            <v>11453791</v>
          </cell>
          <cell r="O32">
            <v>14132223</v>
          </cell>
          <cell r="P32">
            <v>11502100</v>
          </cell>
          <cell r="Q32">
            <v>10942553</v>
          </cell>
          <cell r="R32">
            <v>11673168</v>
          </cell>
          <cell r="S32">
            <v>8949759</v>
          </cell>
          <cell r="T32">
            <v>5177660</v>
          </cell>
          <cell r="U32">
            <v>4750927</v>
          </cell>
          <cell r="V32">
            <v>11067400</v>
          </cell>
          <cell r="W32">
            <v>5841380</v>
          </cell>
          <cell r="X32">
            <v>6039184</v>
          </cell>
          <cell r="Y32">
            <v>6858093</v>
          </cell>
        </row>
        <row r="33">
          <cell r="A33" t="str">
            <v>Indonesia</v>
          </cell>
          <cell r="B33">
            <v>231616</v>
          </cell>
          <cell r="C33">
            <v>335306</v>
          </cell>
          <cell r="D33">
            <v>125524</v>
          </cell>
          <cell r="E33">
            <v>72666</v>
          </cell>
          <cell r="F33">
            <v>155709</v>
          </cell>
          <cell r="G33">
            <v>128432</v>
          </cell>
          <cell r="H33">
            <v>1279069</v>
          </cell>
          <cell r="I33">
            <v>1253992</v>
          </cell>
          <cell r="J33">
            <v>1203388</v>
          </cell>
          <cell r="K33">
            <v>2385254</v>
          </cell>
          <cell r="L33">
            <v>3003887</v>
          </cell>
          <cell r="M33">
            <v>3481304</v>
          </cell>
          <cell r="N33">
            <v>5330951</v>
          </cell>
          <cell r="O33">
            <v>2478290</v>
          </cell>
          <cell r="P33">
            <v>3099509</v>
          </cell>
          <cell r="Q33">
            <v>2345645</v>
          </cell>
          <cell r="R33">
            <v>2958893</v>
          </cell>
          <cell r="S33">
            <v>1703930</v>
          </cell>
          <cell r="T33">
            <v>5157084</v>
          </cell>
          <cell r="U33">
            <v>4775272</v>
          </cell>
          <cell r="V33">
            <v>3402181</v>
          </cell>
          <cell r="W33">
            <v>5751484</v>
          </cell>
          <cell r="X33">
            <v>4636828</v>
          </cell>
          <cell r="Y33">
            <v>6491440</v>
          </cell>
        </row>
        <row r="34">
          <cell r="A34" t="str">
            <v>Denmark</v>
          </cell>
          <cell r="B34">
            <v>3982296</v>
          </cell>
          <cell r="C34">
            <v>2551247</v>
          </cell>
          <cell r="D34">
            <v>6236269</v>
          </cell>
          <cell r="E34">
            <v>3832919</v>
          </cell>
          <cell r="F34">
            <v>5619863</v>
          </cell>
          <cell r="G34">
            <v>10758422</v>
          </cell>
          <cell r="H34">
            <v>13218762</v>
          </cell>
          <cell r="I34">
            <v>13982891</v>
          </cell>
          <cell r="J34">
            <v>20727729</v>
          </cell>
          <cell r="K34">
            <v>19613940</v>
          </cell>
          <cell r="L34">
            <v>12025047</v>
          </cell>
          <cell r="M34">
            <v>9753730</v>
          </cell>
          <cell r="N34">
            <v>10774465</v>
          </cell>
          <cell r="O34">
            <v>13080435</v>
          </cell>
          <cell r="P34">
            <v>11783265</v>
          </cell>
          <cell r="Q34">
            <v>14773712</v>
          </cell>
          <cell r="R34">
            <v>19209488</v>
          </cell>
          <cell r="S34">
            <v>9898944</v>
          </cell>
          <cell r="T34">
            <v>8168199</v>
          </cell>
          <cell r="U34">
            <v>10422160</v>
          </cell>
          <cell r="V34">
            <v>9815936</v>
          </cell>
          <cell r="W34">
            <v>6929410</v>
          </cell>
          <cell r="X34">
            <v>4320563</v>
          </cell>
          <cell r="Y34">
            <v>5946641</v>
          </cell>
        </row>
        <row r="35">
          <cell r="A35" t="str">
            <v>Turkey</v>
          </cell>
          <cell r="B35">
            <v>674843</v>
          </cell>
          <cell r="C35">
            <v>1949199</v>
          </cell>
          <cell r="D35">
            <v>1925241</v>
          </cell>
          <cell r="E35">
            <v>1081376</v>
          </cell>
          <cell r="F35">
            <v>2502873</v>
          </cell>
          <cell r="G35">
            <v>2669713</v>
          </cell>
          <cell r="H35">
            <v>3380453</v>
          </cell>
          <cell r="I35">
            <v>3037302</v>
          </cell>
          <cell r="J35">
            <v>846977</v>
          </cell>
          <cell r="K35">
            <v>1478258</v>
          </cell>
          <cell r="L35">
            <v>1842679</v>
          </cell>
          <cell r="M35">
            <v>3994103</v>
          </cell>
          <cell r="N35">
            <v>2397223</v>
          </cell>
          <cell r="O35">
            <v>2742890</v>
          </cell>
          <cell r="P35">
            <v>3763592</v>
          </cell>
          <cell r="Q35">
            <v>3688374</v>
          </cell>
          <cell r="R35">
            <v>2685151</v>
          </cell>
          <cell r="S35">
            <v>4101759</v>
          </cell>
          <cell r="T35">
            <v>4751656</v>
          </cell>
          <cell r="U35">
            <v>3969540</v>
          </cell>
          <cell r="V35">
            <v>12163943</v>
          </cell>
          <cell r="W35">
            <v>12480932</v>
          </cell>
          <cell r="X35">
            <v>14209168</v>
          </cell>
          <cell r="Y35">
            <v>5516184</v>
          </cell>
        </row>
        <row r="36">
          <cell r="A36" t="str">
            <v>Belgium</v>
          </cell>
          <cell r="B36">
            <v>4957810</v>
          </cell>
          <cell r="C36">
            <v>3836402</v>
          </cell>
          <cell r="D36">
            <v>4138413</v>
          </cell>
          <cell r="E36">
            <v>4434227</v>
          </cell>
          <cell r="F36">
            <v>4724041</v>
          </cell>
          <cell r="G36">
            <v>7509012</v>
          </cell>
          <cell r="H36">
            <v>4888777</v>
          </cell>
          <cell r="I36">
            <v>3536637</v>
          </cell>
          <cell r="J36">
            <v>2799433</v>
          </cell>
          <cell r="K36">
            <v>5661342</v>
          </cell>
          <cell r="L36">
            <v>6902849</v>
          </cell>
          <cell r="M36">
            <v>5343952</v>
          </cell>
          <cell r="N36">
            <v>4181712</v>
          </cell>
          <cell r="O36">
            <v>1936619</v>
          </cell>
          <cell r="P36">
            <v>2552096</v>
          </cell>
          <cell r="Q36">
            <v>2852375</v>
          </cell>
          <cell r="R36">
            <v>5337435</v>
          </cell>
          <cell r="S36">
            <v>5996472</v>
          </cell>
          <cell r="T36">
            <v>5233310</v>
          </cell>
          <cell r="U36">
            <v>3168029</v>
          </cell>
          <cell r="V36">
            <v>4371355</v>
          </cell>
          <cell r="W36">
            <v>9467545</v>
          </cell>
          <cell r="X36">
            <v>5814067</v>
          </cell>
          <cell r="Y36">
            <v>3695991</v>
          </cell>
        </row>
        <row r="37">
          <cell r="A37" t="str">
            <v>Colombia</v>
          </cell>
          <cell r="B37">
            <v>468909</v>
          </cell>
          <cell r="C37">
            <v>258136</v>
          </cell>
          <cell r="D37">
            <v>526262</v>
          </cell>
          <cell r="E37">
            <v>1333931</v>
          </cell>
          <cell r="F37">
            <v>5093306</v>
          </cell>
          <cell r="G37">
            <v>9596370</v>
          </cell>
          <cell r="H37">
            <v>7486593</v>
          </cell>
          <cell r="I37">
            <v>13611683</v>
          </cell>
          <cell r="J37">
            <v>9639312</v>
          </cell>
          <cell r="K37">
            <v>12265362</v>
          </cell>
          <cell r="L37">
            <v>10306929</v>
          </cell>
          <cell r="M37">
            <v>9178290</v>
          </cell>
          <cell r="N37">
            <v>7551657</v>
          </cell>
          <cell r="O37">
            <v>8081525</v>
          </cell>
          <cell r="P37">
            <v>6205158</v>
          </cell>
          <cell r="Q37">
            <v>7577996</v>
          </cell>
          <cell r="R37">
            <v>7014556</v>
          </cell>
          <cell r="S37">
            <v>7504113</v>
          </cell>
          <cell r="T37">
            <v>3679466</v>
          </cell>
          <cell r="U37">
            <v>2434327</v>
          </cell>
          <cell r="V37">
            <v>5756880</v>
          </cell>
          <cell r="W37">
            <v>415468</v>
          </cell>
          <cell r="X37">
            <v>1084359</v>
          </cell>
          <cell r="Y37">
            <v>3327620</v>
          </cell>
        </row>
        <row r="38">
          <cell r="A38" t="str">
            <v>Luxembourg</v>
          </cell>
          <cell r="B38">
            <v>2091111</v>
          </cell>
          <cell r="C38">
            <v>3371845</v>
          </cell>
          <cell r="D38">
            <v>2429995</v>
          </cell>
          <cell r="E38">
            <v>674730</v>
          </cell>
          <cell r="F38">
            <v>3478703</v>
          </cell>
          <cell r="G38">
            <v>1255081</v>
          </cell>
          <cell r="H38">
            <v>2175877</v>
          </cell>
          <cell r="I38">
            <v>1225064</v>
          </cell>
          <cell r="J38">
            <v>1097246</v>
          </cell>
          <cell r="K38">
            <v>1026139</v>
          </cell>
          <cell r="L38">
            <v>1019962</v>
          </cell>
          <cell r="M38">
            <v>236993</v>
          </cell>
          <cell r="N38">
            <v>19792</v>
          </cell>
          <cell r="O38">
            <v>1194027</v>
          </cell>
          <cell r="P38">
            <v>833554</v>
          </cell>
          <cell r="Q38">
            <v>2823182</v>
          </cell>
          <cell r="R38">
            <v>1480355</v>
          </cell>
          <cell r="S38">
            <v>1519475</v>
          </cell>
          <cell r="T38">
            <v>4345881</v>
          </cell>
          <cell r="U38">
            <v>3264456</v>
          </cell>
          <cell r="V38">
            <v>1649359</v>
          </cell>
          <cell r="W38">
            <v>1637766</v>
          </cell>
          <cell r="X38">
            <v>2091999</v>
          </cell>
          <cell r="Y38">
            <v>3147486</v>
          </cell>
        </row>
        <row r="39">
          <cell r="A39" t="str">
            <v>Brazil</v>
          </cell>
          <cell r="B39">
            <v>3475561</v>
          </cell>
          <cell r="C39">
            <v>5240846</v>
          </cell>
          <cell r="D39">
            <v>7630961</v>
          </cell>
          <cell r="E39">
            <v>5141336</v>
          </cell>
          <cell r="F39">
            <v>7268271</v>
          </cell>
          <cell r="G39">
            <v>6945730</v>
          </cell>
          <cell r="H39">
            <v>6422069</v>
          </cell>
          <cell r="I39">
            <v>2545431</v>
          </cell>
          <cell r="J39">
            <v>6226596</v>
          </cell>
          <cell r="K39">
            <v>3481948</v>
          </cell>
          <cell r="L39">
            <v>1862912</v>
          </cell>
          <cell r="M39">
            <v>11751458</v>
          </cell>
          <cell r="N39">
            <v>1849977</v>
          </cell>
          <cell r="O39">
            <v>4299337</v>
          </cell>
          <cell r="P39">
            <v>4421021</v>
          </cell>
          <cell r="Q39">
            <v>2903078</v>
          </cell>
          <cell r="R39">
            <v>3781420</v>
          </cell>
          <cell r="S39">
            <v>1195216</v>
          </cell>
          <cell r="T39">
            <v>1142447</v>
          </cell>
          <cell r="U39">
            <v>1825623</v>
          </cell>
          <cell r="V39">
            <v>5178810</v>
          </cell>
          <cell r="W39">
            <v>5337078</v>
          </cell>
          <cell r="X39">
            <v>4328752</v>
          </cell>
          <cell r="Y39">
            <v>2950597</v>
          </cell>
        </row>
        <row r="40">
          <cell r="A40" t="str">
            <v>Slovenia</v>
          </cell>
          <cell r="B40">
            <v>10123</v>
          </cell>
          <cell r="D40">
            <v>10343</v>
          </cell>
          <cell r="E40">
            <v>61121</v>
          </cell>
          <cell r="F40">
            <v>56722</v>
          </cell>
          <cell r="G40">
            <v>19641</v>
          </cell>
          <cell r="H40">
            <v>217522</v>
          </cell>
          <cell r="I40">
            <v>27337</v>
          </cell>
          <cell r="J40">
            <v>11144</v>
          </cell>
          <cell r="K40">
            <v>341369</v>
          </cell>
          <cell r="L40">
            <v>282959</v>
          </cell>
          <cell r="M40">
            <v>13366</v>
          </cell>
          <cell r="N40">
            <v>694502</v>
          </cell>
          <cell r="O40">
            <v>117111</v>
          </cell>
          <cell r="P40">
            <v>694805</v>
          </cell>
          <cell r="Q40">
            <v>427707</v>
          </cell>
          <cell r="R40">
            <v>639967</v>
          </cell>
          <cell r="S40">
            <v>926711</v>
          </cell>
          <cell r="T40">
            <v>751331</v>
          </cell>
          <cell r="U40">
            <v>1057555</v>
          </cell>
          <cell r="V40">
            <v>2081644</v>
          </cell>
          <cell r="W40">
            <v>2448530</v>
          </cell>
          <cell r="X40">
            <v>748908</v>
          </cell>
          <cell r="Y40">
            <v>2819925</v>
          </cell>
        </row>
        <row r="41">
          <cell r="A41" t="str">
            <v>Romania</v>
          </cell>
          <cell r="B41">
            <v>112978</v>
          </cell>
          <cell r="E41">
            <v>132900</v>
          </cell>
          <cell r="F41">
            <v>119420</v>
          </cell>
          <cell r="G41">
            <v>370954</v>
          </cell>
          <cell r="H41">
            <v>73278</v>
          </cell>
          <cell r="I41">
            <v>156501</v>
          </cell>
          <cell r="J41">
            <v>228700</v>
          </cell>
          <cell r="K41">
            <v>282903</v>
          </cell>
          <cell r="L41">
            <v>443635</v>
          </cell>
          <cell r="M41">
            <v>255950</v>
          </cell>
          <cell r="N41">
            <v>315897</v>
          </cell>
          <cell r="O41">
            <v>184573</v>
          </cell>
          <cell r="P41">
            <v>359297</v>
          </cell>
          <cell r="Q41">
            <v>1842277</v>
          </cell>
          <cell r="R41">
            <v>1450446</v>
          </cell>
          <cell r="S41">
            <v>3221251</v>
          </cell>
          <cell r="T41">
            <v>3199385</v>
          </cell>
          <cell r="U41">
            <v>4641855</v>
          </cell>
          <cell r="V41">
            <v>5396072</v>
          </cell>
          <cell r="W41">
            <v>3363103</v>
          </cell>
          <cell r="X41">
            <v>3591388</v>
          </cell>
          <cell r="Y41">
            <v>2604252</v>
          </cell>
        </row>
        <row r="42">
          <cell r="A42" t="str">
            <v>Sweden</v>
          </cell>
          <cell r="B42">
            <v>1420277</v>
          </cell>
          <cell r="C42">
            <v>2499748</v>
          </cell>
          <cell r="D42">
            <v>5246220</v>
          </cell>
          <cell r="E42">
            <v>3144551</v>
          </cell>
          <cell r="F42">
            <v>1405143</v>
          </cell>
          <cell r="G42">
            <v>1494559</v>
          </cell>
          <cell r="H42">
            <v>1300063</v>
          </cell>
          <cell r="I42">
            <v>477716</v>
          </cell>
          <cell r="J42">
            <v>907514</v>
          </cell>
          <cell r="K42">
            <v>639357</v>
          </cell>
          <cell r="L42">
            <v>282820</v>
          </cell>
          <cell r="M42">
            <v>2036628</v>
          </cell>
          <cell r="N42">
            <v>554697</v>
          </cell>
          <cell r="O42">
            <v>553332</v>
          </cell>
          <cell r="P42">
            <v>571885</v>
          </cell>
          <cell r="Q42">
            <v>180057</v>
          </cell>
          <cell r="R42">
            <v>1030769</v>
          </cell>
          <cell r="S42">
            <v>262706</v>
          </cell>
          <cell r="T42">
            <v>126811</v>
          </cell>
          <cell r="U42">
            <v>345543</v>
          </cell>
          <cell r="V42">
            <v>484978</v>
          </cell>
          <cell r="W42">
            <v>1694841</v>
          </cell>
          <cell r="X42">
            <v>2501817</v>
          </cell>
          <cell r="Y42">
            <v>2246617</v>
          </cell>
        </row>
        <row r="43">
          <cell r="A43" t="str">
            <v>Hungary</v>
          </cell>
          <cell r="B43">
            <v>1318886</v>
          </cell>
          <cell r="C43">
            <v>855372</v>
          </cell>
          <cell r="D43">
            <v>2189754</v>
          </cell>
          <cell r="E43">
            <v>2673285</v>
          </cell>
          <cell r="F43">
            <v>2538045</v>
          </cell>
          <cell r="G43">
            <v>5555938</v>
          </cell>
          <cell r="H43">
            <v>3446139</v>
          </cell>
          <cell r="I43">
            <v>1609284</v>
          </cell>
          <cell r="J43">
            <v>3303084</v>
          </cell>
          <cell r="K43">
            <v>5160421</v>
          </cell>
          <cell r="L43">
            <v>3742961</v>
          </cell>
          <cell r="M43">
            <v>8884544</v>
          </cell>
          <cell r="N43">
            <v>10815048</v>
          </cell>
          <cell r="O43">
            <v>8346885</v>
          </cell>
          <cell r="P43">
            <v>5390516</v>
          </cell>
          <cell r="Q43">
            <v>6358245</v>
          </cell>
          <cell r="R43">
            <v>7569735</v>
          </cell>
          <cell r="S43">
            <v>8035662</v>
          </cell>
          <cell r="T43">
            <v>11670667</v>
          </cell>
          <cell r="U43">
            <v>7204761</v>
          </cell>
          <cell r="V43">
            <v>9443827</v>
          </cell>
          <cell r="W43">
            <v>4248134</v>
          </cell>
          <cell r="X43">
            <v>3202951</v>
          </cell>
          <cell r="Y43">
            <v>1654936</v>
          </cell>
        </row>
        <row r="44">
          <cell r="A44" t="str">
            <v>Australia and Oceania</v>
          </cell>
          <cell r="B44">
            <v>5801374</v>
          </cell>
          <cell r="C44">
            <v>7262752</v>
          </cell>
          <cell r="D44">
            <v>8719218</v>
          </cell>
          <cell r="E44">
            <v>3512580</v>
          </cell>
          <cell r="F44">
            <v>4910083</v>
          </cell>
          <cell r="G44">
            <v>19072582</v>
          </cell>
          <cell r="H44">
            <v>13554775</v>
          </cell>
          <cell r="I44">
            <v>3976797</v>
          </cell>
          <cell r="J44">
            <v>3718553</v>
          </cell>
          <cell r="K44">
            <v>2123414</v>
          </cell>
          <cell r="L44">
            <v>2393904</v>
          </cell>
          <cell r="M44">
            <v>4722385</v>
          </cell>
          <cell r="N44">
            <v>2944924</v>
          </cell>
          <cell r="O44">
            <v>2303409</v>
          </cell>
          <cell r="P44">
            <v>1381342</v>
          </cell>
          <cell r="Q44">
            <v>3325556</v>
          </cell>
          <cell r="R44">
            <v>3489867</v>
          </cell>
          <cell r="S44">
            <v>1654375</v>
          </cell>
          <cell r="T44">
            <v>253477</v>
          </cell>
          <cell r="U44">
            <v>551356</v>
          </cell>
          <cell r="V44">
            <v>2560251</v>
          </cell>
          <cell r="W44">
            <v>921128</v>
          </cell>
          <cell r="X44">
            <v>1745029</v>
          </cell>
          <cell r="Y44">
            <v>1653943</v>
          </cell>
        </row>
        <row r="45">
          <cell r="A45" t="str">
            <v>Asia Near East</v>
          </cell>
          <cell r="B45">
            <v>2793286</v>
          </cell>
          <cell r="C45">
            <v>2047164</v>
          </cell>
          <cell r="D45">
            <v>2357121</v>
          </cell>
          <cell r="E45">
            <v>2645037</v>
          </cell>
          <cell r="F45">
            <v>1004313</v>
          </cell>
          <cell r="G45">
            <v>4623285</v>
          </cell>
          <cell r="H45">
            <v>4283279</v>
          </cell>
          <cell r="I45">
            <v>1573525</v>
          </cell>
          <cell r="J45">
            <v>2082181</v>
          </cell>
          <cell r="K45">
            <v>799034</v>
          </cell>
          <cell r="L45">
            <v>1153262</v>
          </cell>
          <cell r="M45">
            <v>1784727</v>
          </cell>
          <cell r="N45">
            <v>2291844</v>
          </cell>
          <cell r="O45">
            <v>1204527</v>
          </cell>
          <cell r="P45">
            <v>816434</v>
          </cell>
          <cell r="Q45">
            <v>2119441</v>
          </cell>
          <cell r="R45">
            <v>3257296</v>
          </cell>
          <cell r="S45">
            <v>1775587</v>
          </cell>
          <cell r="T45">
            <v>2140263</v>
          </cell>
          <cell r="U45">
            <v>1846558</v>
          </cell>
          <cell r="V45">
            <v>1704930</v>
          </cell>
          <cell r="W45">
            <v>2135552</v>
          </cell>
          <cell r="X45">
            <v>1414968</v>
          </cell>
          <cell r="Y45">
            <v>1611689</v>
          </cell>
        </row>
        <row r="46">
          <cell r="A46" t="str">
            <v>Australia</v>
          </cell>
          <cell r="B46">
            <v>5730670</v>
          </cell>
          <cell r="C46">
            <v>7117070</v>
          </cell>
          <cell r="D46">
            <v>8546693</v>
          </cell>
          <cell r="E46">
            <v>3351184</v>
          </cell>
          <cell r="F46">
            <v>4525390</v>
          </cell>
          <cell r="G46">
            <v>18892570</v>
          </cell>
          <cell r="H46">
            <v>13162110</v>
          </cell>
          <cell r="I46">
            <v>3544928</v>
          </cell>
          <cell r="J46">
            <v>3570039</v>
          </cell>
          <cell r="K46">
            <v>1264201</v>
          </cell>
          <cell r="L46">
            <v>1732129</v>
          </cell>
          <cell r="M46">
            <v>3622966</v>
          </cell>
          <cell r="N46">
            <v>2864798</v>
          </cell>
          <cell r="O46">
            <v>2103867</v>
          </cell>
          <cell r="P46">
            <v>1270554</v>
          </cell>
          <cell r="Q46">
            <v>2864192</v>
          </cell>
          <cell r="R46">
            <v>3013417</v>
          </cell>
          <cell r="S46">
            <v>1551852</v>
          </cell>
          <cell r="T46">
            <v>166970</v>
          </cell>
          <cell r="U46">
            <v>259277</v>
          </cell>
          <cell r="V46">
            <v>2478476</v>
          </cell>
          <cell r="W46">
            <v>775409</v>
          </cell>
          <cell r="X46">
            <v>1623669</v>
          </cell>
          <cell r="Y46">
            <v>1432325</v>
          </cell>
        </row>
        <row r="47">
          <cell r="A47" t="str">
            <v>Central America and Caribbean</v>
          </cell>
          <cell r="B47">
            <v>231637</v>
          </cell>
          <cell r="C47">
            <v>531277</v>
          </cell>
          <cell r="D47">
            <v>388488</v>
          </cell>
          <cell r="E47">
            <v>721006</v>
          </cell>
          <cell r="F47">
            <v>945366</v>
          </cell>
          <cell r="G47">
            <v>1664531</v>
          </cell>
          <cell r="H47">
            <v>893686</v>
          </cell>
          <cell r="I47">
            <v>489029</v>
          </cell>
          <cell r="J47">
            <v>661226</v>
          </cell>
          <cell r="K47">
            <v>918174</v>
          </cell>
          <cell r="L47">
            <v>830971</v>
          </cell>
          <cell r="M47">
            <v>1025160</v>
          </cell>
          <cell r="N47">
            <v>1896234</v>
          </cell>
          <cell r="O47">
            <v>796557</v>
          </cell>
          <cell r="P47">
            <v>578225</v>
          </cell>
          <cell r="Q47">
            <v>715438</v>
          </cell>
          <cell r="R47">
            <v>411076</v>
          </cell>
          <cell r="S47">
            <v>764699</v>
          </cell>
          <cell r="T47">
            <v>936193</v>
          </cell>
          <cell r="U47">
            <v>707100</v>
          </cell>
          <cell r="V47">
            <v>2176029</v>
          </cell>
          <cell r="W47">
            <v>1874860</v>
          </cell>
          <cell r="X47">
            <v>2034905</v>
          </cell>
          <cell r="Y47">
            <v>1357266</v>
          </cell>
        </row>
        <row r="48">
          <cell r="A48" t="str">
            <v>Finland</v>
          </cell>
          <cell r="B48">
            <v>1564621</v>
          </cell>
          <cell r="C48">
            <v>1468261</v>
          </cell>
          <cell r="D48">
            <v>2562968</v>
          </cell>
          <cell r="E48">
            <v>3629880</v>
          </cell>
          <cell r="F48">
            <v>1114259</v>
          </cell>
          <cell r="G48">
            <v>588474</v>
          </cell>
          <cell r="H48">
            <v>395304</v>
          </cell>
          <cell r="I48">
            <v>133594</v>
          </cell>
          <cell r="J48">
            <v>79294</v>
          </cell>
          <cell r="K48">
            <v>1240998</v>
          </cell>
          <cell r="L48">
            <v>224420</v>
          </cell>
          <cell r="M48">
            <v>684330</v>
          </cell>
          <cell r="N48">
            <v>247658</v>
          </cell>
          <cell r="O48">
            <v>403020</v>
          </cell>
          <cell r="P48">
            <v>112374</v>
          </cell>
          <cell r="Q48">
            <v>1193435</v>
          </cell>
          <cell r="R48">
            <v>589659</v>
          </cell>
          <cell r="S48">
            <v>1530671</v>
          </cell>
          <cell r="T48">
            <v>1196761</v>
          </cell>
          <cell r="U48">
            <v>4122649</v>
          </cell>
          <cell r="V48">
            <v>1268511</v>
          </cell>
          <cell r="W48">
            <v>5859977</v>
          </cell>
          <cell r="X48">
            <v>2367547</v>
          </cell>
          <cell r="Y48">
            <v>1332090</v>
          </cell>
        </row>
        <row r="49">
          <cell r="A49" t="str">
            <v>Israel</v>
          </cell>
          <cell r="B49">
            <v>2780961</v>
          </cell>
          <cell r="C49">
            <v>1841989</v>
          </cell>
          <cell r="D49">
            <v>2300885</v>
          </cell>
          <cell r="E49">
            <v>2546514</v>
          </cell>
          <cell r="F49">
            <v>968669</v>
          </cell>
          <cell r="G49">
            <v>4161894</v>
          </cell>
          <cell r="H49">
            <v>3963142</v>
          </cell>
          <cell r="I49">
            <v>1271845</v>
          </cell>
          <cell r="J49">
            <v>889740</v>
          </cell>
          <cell r="K49">
            <v>724867</v>
          </cell>
          <cell r="L49">
            <v>966432</v>
          </cell>
          <cell r="M49">
            <v>1597004</v>
          </cell>
          <cell r="N49">
            <v>774324</v>
          </cell>
          <cell r="O49">
            <v>941902</v>
          </cell>
          <cell r="P49">
            <v>521993</v>
          </cell>
          <cell r="Q49">
            <v>2059153</v>
          </cell>
          <cell r="R49">
            <v>2551760</v>
          </cell>
          <cell r="S49">
            <v>1046655</v>
          </cell>
          <cell r="T49">
            <v>635326</v>
          </cell>
          <cell r="U49">
            <v>1553412</v>
          </cell>
          <cell r="V49">
            <v>1147034</v>
          </cell>
          <cell r="W49">
            <v>1667019</v>
          </cell>
          <cell r="X49">
            <v>1099124</v>
          </cell>
          <cell r="Y49">
            <v>1213395</v>
          </cell>
        </row>
        <row r="50">
          <cell r="A50" t="str">
            <v>Ireland</v>
          </cell>
          <cell r="B50">
            <v>911017</v>
          </cell>
          <cell r="C50">
            <v>944461</v>
          </cell>
          <cell r="D50">
            <v>491944</v>
          </cell>
          <cell r="E50">
            <v>1088036</v>
          </cell>
          <cell r="F50">
            <v>992160</v>
          </cell>
          <cell r="G50">
            <v>363902</v>
          </cell>
          <cell r="H50">
            <v>274040</v>
          </cell>
          <cell r="I50">
            <v>685435</v>
          </cell>
          <cell r="J50">
            <v>160651</v>
          </cell>
          <cell r="K50">
            <v>637105</v>
          </cell>
          <cell r="L50">
            <v>338340</v>
          </cell>
          <cell r="M50">
            <v>963215</v>
          </cell>
          <cell r="N50">
            <v>639802</v>
          </cell>
          <cell r="O50">
            <v>267987</v>
          </cell>
          <cell r="P50">
            <v>575637</v>
          </cell>
          <cell r="Q50">
            <v>525592</v>
          </cell>
          <cell r="R50">
            <v>952264</v>
          </cell>
          <cell r="S50">
            <v>1110278</v>
          </cell>
          <cell r="T50">
            <v>2463891</v>
          </cell>
          <cell r="U50">
            <v>1028399</v>
          </cell>
          <cell r="V50">
            <v>1984410</v>
          </cell>
          <cell r="W50">
            <v>3194212</v>
          </cell>
          <cell r="X50">
            <v>816980</v>
          </cell>
          <cell r="Y50">
            <v>1039012</v>
          </cell>
        </row>
        <row r="51">
          <cell r="A51" t="str">
            <v>Norway</v>
          </cell>
          <cell r="B51">
            <v>57463</v>
          </cell>
          <cell r="C51">
            <v>598518</v>
          </cell>
          <cell r="D51">
            <v>526965</v>
          </cell>
          <cell r="E51">
            <v>106300</v>
          </cell>
          <cell r="F51">
            <v>110054</v>
          </cell>
          <cell r="G51">
            <v>207819</v>
          </cell>
          <cell r="H51">
            <v>861157</v>
          </cell>
          <cell r="I51">
            <v>93675</v>
          </cell>
          <cell r="J51">
            <v>281212</v>
          </cell>
          <cell r="K51">
            <v>6161</v>
          </cell>
          <cell r="L51">
            <v>81695</v>
          </cell>
          <cell r="M51">
            <v>136354</v>
          </cell>
          <cell r="N51">
            <v>286569</v>
          </cell>
          <cell r="O51">
            <v>250720</v>
          </cell>
          <cell r="P51">
            <v>553987</v>
          </cell>
          <cell r="Q51">
            <v>6749</v>
          </cell>
          <cell r="R51">
            <v>86857</v>
          </cell>
          <cell r="S51">
            <v>614167</v>
          </cell>
          <cell r="T51">
            <v>160498</v>
          </cell>
          <cell r="U51">
            <v>175240</v>
          </cell>
          <cell r="V51">
            <v>45318</v>
          </cell>
          <cell r="W51">
            <v>288271</v>
          </cell>
          <cell r="X51">
            <v>1014434</v>
          </cell>
          <cell r="Y51">
            <v>1013884</v>
          </cell>
        </row>
        <row r="52">
          <cell r="A52" t="str">
            <v>Bulgaria</v>
          </cell>
          <cell r="B52">
            <v>978922</v>
          </cell>
          <cell r="C52">
            <v>345451</v>
          </cell>
          <cell r="D52">
            <v>628195</v>
          </cell>
          <cell r="E52">
            <v>511589</v>
          </cell>
          <cell r="F52">
            <v>273853</v>
          </cell>
          <cell r="G52">
            <v>144225</v>
          </cell>
          <cell r="H52">
            <v>244386</v>
          </cell>
          <cell r="I52">
            <v>105594</v>
          </cell>
          <cell r="J52">
            <v>295222</v>
          </cell>
          <cell r="K52">
            <v>93083</v>
          </cell>
          <cell r="L52">
            <v>125627</v>
          </cell>
          <cell r="M52">
            <v>297280</v>
          </cell>
          <cell r="O52">
            <v>69753</v>
          </cell>
          <cell r="P52">
            <v>331839</v>
          </cell>
          <cell r="Q52">
            <v>466359</v>
          </cell>
          <cell r="R52">
            <v>302532</v>
          </cell>
          <cell r="S52">
            <v>1479449</v>
          </cell>
          <cell r="T52">
            <v>284974</v>
          </cell>
          <cell r="U52">
            <v>551658</v>
          </cell>
          <cell r="V52">
            <v>713088</v>
          </cell>
          <cell r="W52">
            <v>454484</v>
          </cell>
          <cell r="X52">
            <v>594355</v>
          </cell>
          <cell r="Y52">
            <v>794735</v>
          </cell>
        </row>
        <row r="53">
          <cell r="A53" t="str">
            <v>Dominican Republic</v>
          </cell>
          <cell r="B53">
            <v>99708</v>
          </cell>
          <cell r="C53">
            <v>11904</v>
          </cell>
          <cell r="D53">
            <v>68445</v>
          </cell>
          <cell r="E53">
            <v>102865</v>
          </cell>
          <cell r="F53">
            <v>156496</v>
          </cell>
          <cell r="G53">
            <v>299044</v>
          </cell>
          <cell r="H53">
            <v>9043</v>
          </cell>
          <cell r="I53">
            <v>12000</v>
          </cell>
          <cell r="J53">
            <v>209487</v>
          </cell>
          <cell r="K53">
            <v>441253</v>
          </cell>
          <cell r="L53">
            <v>67949</v>
          </cell>
          <cell r="M53">
            <v>37949</v>
          </cell>
          <cell r="N53">
            <v>1562820</v>
          </cell>
          <cell r="O53">
            <v>38835</v>
          </cell>
          <cell r="P53">
            <v>39900</v>
          </cell>
          <cell r="Q53">
            <v>293175</v>
          </cell>
          <cell r="R53">
            <v>117560</v>
          </cell>
          <cell r="S53">
            <v>640361</v>
          </cell>
          <cell r="T53">
            <v>428800</v>
          </cell>
          <cell r="U53">
            <v>47913</v>
          </cell>
          <cell r="V53">
            <v>455508</v>
          </cell>
          <cell r="W53">
            <v>745021</v>
          </cell>
          <cell r="X53">
            <v>984112</v>
          </cell>
          <cell r="Y53">
            <v>781699</v>
          </cell>
        </row>
        <row r="54">
          <cell r="A54" t="str">
            <v>Africa</v>
          </cell>
          <cell r="B54">
            <v>465748</v>
          </cell>
          <cell r="C54">
            <v>633880</v>
          </cell>
          <cell r="D54">
            <v>1253657</v>
          </cell>
          <cell r="E54">
            <v>556401</v>
          </cell>
          <cell r="F54">
            <v>649885</v>
          </cell>
          <cell r="G54">
            <v>837659</v>
          </cell>
          <cell r="H54">
            <v>169930</v>
          </cell>
          <cell r="I54">
            <v>451542</v>
          </cell>
          <cell r="J54">
            <v>327571</v>
          </cell>
          <cell r="K54">
            <v>711344</v>
          </cell>
          <cell r="L54">
            <v>633368</v>
          </cell>
          <cell r="M54">
            <v>318744</v>
          </cell>
          <cell r="N54">
            <v>181096</v>
          </cell>
          <cell r="O54">
            <v>170545</v>
          </cell>
          <cell r="P54">
            <v>130192</v>
          </cell>
          <cell r="Q54">
            <v>526000</v>
          </cell>
          <cell r="R54">
            <v>728658</v>
          </cell>
          <cell r="S54">
            <v>434379</v>
          </cell>
          <cell r="T54">
            <v>275933</v>
          </cell>
          <cell r="U54">
            <v>732691</v>
          </cell>
          <cell r="V54">
            <v>535001</v>
          </cell>
          <cell r="W54">
            <v>368969</v>
          </cell>
          <cell r="X54">
            <v>1544664</v>
          </cell>
          <cell r="Y54">
            <v>739117</v>
          </cell>
        </row>
        <row r="55">
          <cell r="A55" t="str">
            <v>Ukraine</v>
          </cell>
          <cell r="B55">
            <v>6636</v>
          </cell>
          <cell r="C55">
            <v>3501</v>
          </cell>
          <cell r="D55">
            <v>157650</v>
          </cell>
          <cell r="E55">
            <v>182100</v>
          </cell>
          <cell r="G55">
            <v>246610</v>
          </cell>
          <cell r="H55">
            <v>4500</v>
          </cell>
          <cell r="I55">
            <v>268005</v>
          </cell>
          <cell r="J55">
            <v>366621</v>
          </cell>
          <cell r="K55">
            <v>324785</v>
          </cell>
          <cell r="L55">
            <v>482100</v>
          </cell>
          <cell r="M55">
            <v>158650</v>
          </cell>
          <cell r="N55">
            <v>512166</v>
          </cell>
          <cell r="O55">
            <v>645383</v>
          </cell>
          <cell r="P55">
            <v>480861</v>
          </cell>
          <cell r="Q55">
            <v>480885</v>
          </cell>
          <cell r="R55">
            <v>238871</v>
          </cell>
          <cell r="S55">
            <v>509110</v>
          </cell>
          <cell r="T55">
            <v>156489</v>
          </cell>
          <cell r="U55">
            <v>28863</v>
          </cell>
          <cell r="V55">
            <v>210721</v>
          </cell>
          <cell r="W55">
            <v>565435</v>
          </cell>
          <cell r="X55">
            <v>95088</v>
          </cell>
          <cell r="Y55">
            <v>681753</v>
          </cell>
        </row>
        <row r="56">
          <cell r="A56" t="str">
            <v>Estonia</v>
          </cell>
          <cell r="B56">
            <v>236861</v>
          </cell>
          <cell r="C56">
            <v>131810</v>
          </cell>
          <cell r="D56">
            <v>145443</v>
          </cell>
          <cell r="E56">
            <v>392281</v>
          </cell>
          <cell r="F56">
            <v>184100</v>
          </cell>
          <cell r="G56">
            <v>214540</v>
          </cell>
          <cell r="I56">
            <v>59700</v>
          </cell>
          <cell r="J56">
            <v>168005</v>
          </cell>
          <cell r="K56">
            <v>83530</v>
          </cell>
          <cell r="L56">
            <v>213400</v>
          </cell>
          <cell r="M56">
            <v>286980</v>
          </cell>
          <cell r="N56">
            <v>225500</v>
          </cell>
          <cell r="O56">
            <v>94700</v>
          </cell>
          <cell r="P56">
            <v>161000</v>
          </cell>
          <cell r="R56">
            <v>247000</v>
          </cell>
          <cell r="U56">
            <v>602000</v>
          </cell>
          <cell r="V56">
            <v>5315</v>
          </cell>
          <cell r="W56">
            <v>305000</v>
          </cell>
          <cell r="Y56">
            <v>641015</v>
          </cell>
        </row>
        <row r="57">
          <cell r="A57" t="str">
            <v>South Africa</v>
          </cell>
          <cell r="B57">
            <v>420398</v>
          </cell>
          <cell r="C57">
            <v>611546</v>
          </cell>
          <cell r="D57">
            <v>1242035</v>
          </cell>
          <cell r="E57">
            <v>549794</v>
          </cell>
          <cell r="F57">
            <v>493794</v>
          </cell>
          <cell r="G57">
            <v>751659</v>
          </cell>
          <cell r="H57">
            <v>83098</v>
          </cell>
          <cell r="I57">
            <v>135870</v>
          </cell>
          <cell r="J57">
            <v>264233</v>
          </cell>
          <cell r="K57">
            <v>670106</v>
          </cell>
          <cell r="L57">
            <v>398143</v>
          </cell>
          <cell r="M57">
            <v>83466</v>
          </cell>
          <cell r="N57">
            <v>160954</v>
          </cell>
          <cell r="O57">
            <v>164905</v>
          </cell>
          <cell r="P57">
            <v>130192</v>
          </cell>
          <cell r="Q57">
            <v>191962</v>
          </cell>
          <cell r="R57">
            <v>720961</v>
          </cell>
          <cell r="S57">
            <v>238369</v>
          </cell>
          <cell r="T57">
            <v>263713</v>
          </cell>
          <cell r="U57">
            <v>702320</v>
          </cell>
          <cell r="V57">
            <v>279218</v>
          </cell>
          <cell r="W57">
            <v>362969</v>
          </cell>
          <cell r="X57">
            <v>394527</v>
          </cell>
          <cell r="Y57">
            <v>635589</v>
          </cell>
        </row>
        <row r="58">
          <cell r="A58" t="str">
            <v>Costa Rica</v>
          </cell>
          <cell r="B58">
            <v>92729</v>
          </cell>
          <cell r="C58">
            <v>444548</v>
          </cell>
          <cell r="D58">
            <v>194629</v>
          </cell>
          <cell r="E58">
            <v>496720</v>
          </cell>
          <cell r="F58">
            <v>629933</v>
          </cell>
          <cell r="G58">
            <v>1198826</v>
          </cell>
          <cell r="H58">
            <v>802753</v>
          </cell>
          <cell r="I58">
            <v>363903</v>
          </cell>
          <cell r="J58">
            <v>206847</v>
          </cell>
          <cell r="K58">
            <v>450921</v>
          </cell>
          <cell r="L58">
            <v>549281</v>
          </cell>
          <cell r="M58">
            <v>608180</v>
          </cell>
          <cell r="N58">
            <v>220247</v>
          </cell>
          <cell r="O58">
            <v>247889</v>
          </cell>
          <cell r="P58">
            <v>312034</v>
          </cell>
          <cell r="Q58">
            <v>328431</v>
          </cell>
          <cell r="R58">
            <v>227550</v>
          </cell>
          <cell r="S58">
            <v>117538</v>
          </cell>
          <cell r="T58">
            <v>477998</v>
          </cell>
          <cell r="U58">
            <v>567185</v>
          </cell>
          <cell r="V58">
            <v>1508130</v>
          </cell>
          <cell r="W58">
            <v>1115473</v>
          </cell>
          <cell r="X58">
            <v>946046</v>
          </cell>
          <cell r="Y58">
            <v>575567</v>
          </cell>
        </row>
        <row r="59">
          <cell r="A59" t="str">
            <v>Hong Kong</v>
          </cell>
          <cell r="B59">
            <v>9469469</v>
          </cell>
          <cell r="C59">
            <v>10260017</v>
          </cell>
          <cell r="D59">
            <v>8818723</v>
          </cell>
          <cell r="E59">
            <v>9760186</v>
          </cell>
          <cell r="F59">
            <v>8628217</v>
          </cell>
          <cell r="G59">
            <v>10159470</v>
          </cell>
          <cell r="H59">
            <v>9604807</v>
          </cell>
          <cell r="I59">
            <v>7266423</v>
          </cell>
          <cell r="J59">
            <v>7843473</v>
          </cell>
          <cell r="K59">
            <v>11637165</v>
          </cell>
          <cell r="L59">
            <v>7420879</v>
          </cell>
          <cell r="M59">
            <v>8459631</v>
          </cell>
          <cell r="N59">
            <v>6994464</v>
          </cell>
          <cell r="O59">
            <v>8171001</v>
          </cell>
          <cell r="P59">
            <v>6061479</v>
          </cell>
          <cell r="Q59">
            <v>10013972</v>
          </cell>
          <cell r="R59">
            <v>11007140</v>
          </cell>
          <cell r="S59">
            <v>3761721</v>
          </cell>
          <cell r="T59">
            <v>1654158</v>
          </cell>
          <cell r="U59">
            <v>2264023</v>
          </cell>
          <cell r="V59">
            <v>2003527</v>
          </cell>
          <cell r="W59">
            <v>1414540</v>
          </cell>
          <cell r="X59">
            <v>828867</v>
          </cell>
          <cell r="Y59">
            <v>531482</v>
          </cell>
        </row>
        <row r="60">
          <cell r="A60" t="str">
            <v>Slovakia</v>
          </cell>
          <cell r="B60">
            <v>355966</v>
          </cell>
          <cell r="C60">
            <v>646352</v>
          </cell>
          <cell r="D60">
            <v>903326</v>
          </cell>
          <cell r="E60">
            <v>624916</v>
          </cell>
          <cell r="F60">
            <v>832816</v>
          </cell>
          <cell r="G60">
            <v>598762</v>
          </cell>
          <cell r="H60">
            <v>965087</v>
          </cell>
          <cell r="I60">
            <v>394400</v>
          </cell>
          <cell r="J60">
            <v>1079402</v>
          </cell>
          <cell r="K60">
            <v>194080</v>
          </cell>
          <cell r="L60">
            <v>247244</v>
          </cell>
          <cell r="M60">
            <v>136333</v>
          </cell>
          <cell r="N60">
            <v>576483</v>
          </cell>
          <cell r="O60">
            <v>821567</v>
          </cell>
          <cell r="P60">
            <v>656744</v>
          </cell>
          <cell r="Q60">
            <v>424110</v>
          </cell>
          <cell r="R60">
            <v>1047773</v>
          </cell>
          <cell r="S60">
            <v>1051222</v>
          </cell>
          <cell r="T60">
            <v>382370</v>
          </cell>
          <cell r="U60">
            <v>560928</v>
          </cell>
          <cell r="V60">
            <v>623261</v>
          </cell>
          <cell r="W60">
            <v>92382</v>
          </cell>
          <cell r="X60">
            <v>599450</v>
          </cell>
          <cell r="Y60">
            <v>502119</v>
          </cell>
        </row>
        <row r="61">
          <cell r="A61" t="str">
            <v>Argentina</v>
          </cell>
          <cell r="B61">
            <v>9354</v>
          </cell>
          <cell r="C61">
            <v>202826</v>
          </cell>
          <cell r="D61">
            <v>62663</v>
          </cell>
          <cell r="E61">
            <v>233689</v>
          </cell>
          <cell r="F61">
            <v>30037</v>
          </cell>
          <cell r="G61">
            <v>122425</v>
          </cell>
          <cell r="H61">
            <v>99993</v>
          </cell>
          <cell r="I61">
            <v>233466</v>
          </cell>
          <cell r="J61">
            <v>261417</v>
          </cell>
          <cell r="K61">
            <v>5765</v>
          </cell>
          <cell r="L61">
            <v>36292</v>
          </cell>
          <cell r="M61">
            <v>25728</v>
          </cell>
          <cell r="N61">
            <v>68305</v>
          </cell>
          <cell r="O61">
            <v>19682</v>
          </cell>
          <cell r="P61">
            <v>61752</v>
          </cell>
          <cell r="Q61">
            <v>15622</v>
          </cell>
          <cell r="R61">
            <v>340075</v>
          </cell>
          <cell r="S61">
            <v>23224</v>
          </cell>
          <cell r="T61">
            <v>115392</v>
          </cell>
          <cell r="U61">
            <v>31224</v>
          </cell>
          <cell r="V61">
            <v>5299</v>
          </cell>
          <cell r="W61">
            <v>2900</v>
          </cell>
          <cell r="X61">
            <v>13180</v>
          </cell>
          <cell r="Y61">
            <v>475752</v>
          </cell>
        </row>
        <row r="62">
          <cell r="A62" t="str">
            <v>United Arab Emirates</v>
          </cell>
          <cell r="C62">
            <v>4984</v>
          </cell>
          <cell r="D62">
            <v>5392</v>
          </cell>
          <cell r="F62">
            <v>6500</v>
          </cell>
          <cell r="G62">
            <v>461391</v>
          </cell>
          <cell r="H62">
            <v>320137</v>
          </cell>
          <cell r="I62">
            <v>301680</v>
          </cell>
          <cell r="J62">
            <v>216396</v>
          </cell>
          <cell r="K62">
            <v>3925</v>
          </cell>
          <cell r="L62">
            <v>143479</v>
          </cell>
          <cell r="M62">
            <v>104203</v>
          </cell>
          <cell r="N62">
            <v>1260520</v>
          </cell>
          <cell r="O62">
            <v>169785</v>
          </cell>
          <cell r="P62">
            <v>281716</v>
          </cell>
          <cell r="Q62">
            <v>53888</v>
          </cell>
          <cell r="R62">
            <v>705536</v>
          </cell>
          <cell r="S62">
            <v>726243</v>
          </cell>
          <cell r="T62">
            <v>1316706</v>
          </cell>
          <cell r="U62">
            <v>279379</v>
          </cell>
          <cell r="V62">
            <v>550586</v>
          </cell>
          <cell r="W62">
            <v>468533</v>
          </cell>
          <cell r="X62">
            <v>281753</v>
          </cell>
          <cell r="Y62">
            <v>392694</v>
          </cell>
        </row>
        <row r="63">
          <cell r="A63" t="str">
            <v>New Zealand</v>
          </cell>
          <cell r="B63">
            <v>70704</v>
          </cell>
          <cell r="C63">
            <v>93982</v>
          </cell>
          <cell r="D63">
            <v>172525</v>
          </cell>
          <cell r="E63">
            <v>161396</v>
          </cell>
          <cell r="F63">
            <v>384693</v>
          </cell>
          <cell r="G63">
            <v>175908</v>
          </cell>
          <cell r="H63">
            <v>149277</v>
          </cell>
          <cell r="I63">
            <v>431869</v>
          </cell>
          <cell r="J63">
            <v>94641</v>
          </cell>
          <cell r="K63">
            <v>814218</v>
          </cell>
          <cell r="L63">
            <v>661775</v>
          </cell>
          <cell r="M63">
            <v>1068627</v>
          </cell>
          <cell r="N63">
            <v>80126</v>
          </cell>
          <cell r="O63">
            <v>199542</v>
          </cell>
          <cell r="P63">
            <v>110788</v>
          </cell>
          <cell r="Q63">
            <v>456422</v>
          </cell>
          <cell r="R63">
            <v>403608</v>
          </cell>
          <cell r="S63">
            <v>48563</v>
          </cell>
          <cell r="T63">
            <v>86507</v>
          </cell>
          <cell r="U63">
            <v>268592</v>
          </cell>
          <cell r="V63">
            <v>48231</v>
          </cell>
          <cell r="W63">
            <v>145719</v>
          </cell>
          <cell r="X63">
            <v>111660</v>
          </cell>
          <cell r="Y63">
            <v>221618</v>
          </cell>
        </row>
        <row r="64">
          <cell r="A64" t="str">
            <v>Russia</v>
          </cell>
          <cell r="B64">
            <v>307803</v>
          </cell>
          <cell r="C64">
            <v>504366</v>
          </cell>
          <cell r="D64">
            <v>376770</v>
          </cell>
          <cell r="E64">
            <v>258364</v>
          </cell>
          <cell r="F64">
            <v>400835</v>
          </cell>
          <cell r="G64">
            <v>210428</v>
          </cell>
          <cell r="H64">
            <v>852185</v>
          </cell>
          <cell r="I64">
            <v>607272</v>
          </cell>
          <cell r="J64">
            <v>221605</v>
          </cell>
          <cell r="K64">
            <v>13765</v>
          </cell>
          <cell r="L64">
            <v>72925</v>
          </cell>
          <cell r="M64">
            <v>94528</v>
          </cell>
          <cell r="N64">
            <v>21345</v>
          </cell>
          <cell r="O64">
            <v>147269</v>
          </cell>
          <cell r="P64">
            <v>335299</v>
          </cell>
          <cell r="Q64">
            <v>139589</v>
          </cell>
          <cell r="R64">
            <v>265610</v>
          </cell>
          <cell r="S64">
            <v>401964</v>
          </cell>
          <cell r="T64">
            <v>302222</v>
          </cell>
          <cell r="U64">
            <v>4593</v>
          </cell>
          <cell r="X64">
            <v>10430</v>
          </cell>
          <cell r="Y64">
            <v>54684</v>
          </cell>
        </row>
        <row r="65">
          <cell r="A65" t="str">
            <v>Chile</v>
          </cell>
          <cell r="B65">
            <v>191398</v>
          </cell>
          <cell r="C65">
            <v>264201</v>
          </cell>
          <cell r="D65">
            <v>146791</v>
          </cell>
          <cell r="E65">
            <v>210102</v>
          </cell>
          <cell r="F65">
            <v>248052</v>
          </cell>
          <cell r="G65">
            <v>606534</v>
          </cell>
          <cell r="H65">
            <v>2672576</v>
          </cell>
          <cell r="I65">
            <v>377259</v>
          </cell>
          <cell r="J65">
            <v>355659</v>
          </cell>
          <cell r="K65">
            <v>1219506</v>
          </cell>
          <cell r="L65">
            <v>615135</v>
          </cell>
          <cell r="M65">
            <v>535841</v>
          </cell>
          <cell r="N65">
            <v>1931352</v>
          </cell>
          <cell r="O65">
            <v>1512237</v>
          </cell>
          <cell r="P65">
            <v>744594</v>
          </cell>
          <cell r="Q65">
            <v>157463</v>
          </cell>
          <cell r="R65">
            <v>87140</v>
          </cell>
          <cell r="S65">
            <v>165608</v>
          </cell>
          <cell r="T65">
            <v>226307</v>
          </cell>
          <cell r="U65">
            <v>12000</v>
          </cell>
          <cell r="V65">
            <v>48608</v>
          </cell>
          <cell r="W65">
            <v>38420</v>
          </cell>
          <cell r="X65">
            <v>60500</v>
          </cell>
          <cell r="Y65">
            <v>54579</v>
          </cell>
        </row>
        <row r="66">
          <cell r="A66" t="str">
            <v>Sri Lanka</v>
          </cell>
          <cell r="C66">
            <v>74300</v>
          </cell>
          <cell r="D66">
            <v>4236</v>
          </cell>
          <cell r="E66">
            <v>24241</v>
          </cell>
          <cell r="G66">
            <v>94991</v>
          </cell>
          <cell r="H66">
            <v>30052</v>
          </cell>
          <cell r="I66">
            <v>292842</v>
          </cell>
          <cell r="J66">
            <v>70971</v>
          </cell>
          <cell r="L66">
            <v>19183</v>
          </cell>
          <cell r="M66">
            <v>223849</v>
          </cell>
          <cell r="N66">
            <v>45615</v>
          </cell>
          <cell r="O66">
            <v>104251</v>
          </cell>
          <cell r="P66">
            <v>12532</v>
          </cell>
          <cell r="Q66">
            <v>190681</v>
          </cell>
          <cell r="R66">
            <v>4800</v>
          </cell>
          <cell r="S66">
            <v>122592</v>
          </cell>
          <cell r="W66">
            <v>3676</v>
          </cell>
          <cell r="X66">
            <v>20836</v>
          </cell>
          <cell r="Y66">
            <v>51350</v>
          </cell>
        </row>
        <row r="67">
          <cell r="A67" t="str">
            <v>Philippines</v>
          </cell>
          <cell r="B67">
            <v>17330</v>
          </cell>
          <cell r="C67">
            <v>21070</v>
          </cell>
          <cell r="D67">
            <v>125695</v>
          </cell>
          <cell r="E67">
            <v>88684</v>
          </cell>
          <cell r="F67">
            <v>114116</v>
          </cell>
          <cell r="G67">
            <v>52016</v>
          </cell>
          <cell r="H67">
            <v>246959</v>
          </cell>
          <cell r="I67">
            <v>96096</v>
          </cell>
          <cell r="J67">
            <v>10283</v>
          </cell>
          <cell r="K67">
            <v>39879</v>
          </cell>
          <cell r="L67">
            <v>4500</v>
          </cell>
          <cell r="M67">
            <v>173815</v>
          </cell>
          <cell r="N67">
            <v>39560</v>
          </cell>
          <cell r="O67">
            <v>44200</v>
          </cell>
          <cell r="P67">
            <v>27935</v>
          </cell>
          <cell r="Q67">
            <v>105619</v>
          </cell>
          <cell r="R67">
            <v>193365</v>
          </cell>
          <cell r="S67">
            <v>18240</v>
          </cell>
          <cell r="T67">
            <v>73519</v>
          </cell>
          <cell r="U67">
            <v>71880</v>
          </cell>
          <cell r="V67">
            <v>12512</v>
          </cell>
          <cell r="W67">
            <v>32836</v>
          </cell>
          <cell r="X67">
            <v>41619</v>
          </cell>
          <cell r="Y67">
            <v>32853</v>
          </cell>
        </row>
        <row r="68">
          <cell r="A68" t="str">
            <v>Peru</v>
          </cell>
          <cell r="C68">
            <v>24792</v>
          </cell>
          <cell r="D68">
            <v>32320</v>
          </cell>
          <cell r="F68">
            <v>11461</v>
          </cell>
          <cell r="G68">
            <v>57826</v>
          </cell>
          <cell r="H68">
            <v>294678</v>
          </cell>
          <cell r="O68">
            <v>122372</v>
          </cell>
          <cell r="P68">
            <v>69575</v>
          </cell>
          <cell r="Q68">
            <v>45700</v>
          </cell>
          <cell r="R68">
            <v>66699</v>
          </cell>
          <cell r="S68">
            <v>30500</v>
          </cell>
          <cell r="U68">
            <v>66390</v>
          </cell>
          <cell r="V68">
            <v>11453</v>
          </cell>
          <cell r="Y68">
            <v>32120</v>
          </cell>
        </row>
        <row r="69">
          <cell r="A69" t="str">
            <v>Greece</v>
          </cell>
          <cell r="B69">
            <v>11550</v>
          </cell>
          <cell r="C69">
            <v>90237</v>
          </cell>
          <cell r="E69">
            <v>14900</v>
          </cell>
          <cell r="F69">
            <v>55839</v>
          </cell>
          <cell r="H69">
            <v>62838</v>
          </cell>
          <cell r="J69">
            <v>105450</v>
          </cell>
          <cell r="L69">
            <v>6815</v>
          </cell>
          <cell r="M69">
            <v>20000</v>
          </cell>
          <cell r="O69">
            <v>3850</v>
          </cell>
          <cell r="P69">
            <v>12560</v>
          </cell>
          <cell r="Q69">
            <v>63927</v>
          </cell>
          <cell r="R69">
            <v>244847</v>
          </cell>
          <cell r="S69">
            <v>67113</v>
          </cell>
          <cell r="T69">
            <v>25216</v>
          </cell>
          <cell r="U69">
            <v>21457</v>
          </cell>
          <cell r="V69">
            <v>7961</v>
          </cell>
          <cell r="W69">
            <v>10409</v>
          </cell>
          <cell r="X69">
            <v>8053</v>
          </cell>
          <cell r="Y69">
            <v>22080</v>
          </cell>
        </row>
        <row r="70">
          <cell r="A70" t="str">
            <v>Pakistan</v>
          </cell>
          <cell r="B70">
            <v>3500</v>
          </cell>
          <cell r="C70">
            <v>2800</v>
          </cell>
          <cell r="D70">
            <v>84476</v>
          </cell>
          <cell r="G70">
            <v>8500</v>
          </cell>
          <cell r="I70">
            <v>12000</v>
          </cell>
          <cell r="J70">
            <v>6200</v>
          </cell>
          <cell r="K70">
            <v>3500</v>
          </cell>
          <cell r="L70">
            <v>7700</v>
          </cell>
          <cell r="M70">
            <v>2583</v>
          </cell>
          <cell r="N70">
            <v>32465</v>
          </cell>
          <cell r="O70">
            <v>12300</v>
          </cell>
          <cell r="P70">
            <v>58800</v>
          </cell>
          <cell r="Q70">
            <v>28290</v>
          </cell>
          <cell r="S70">
            <v>25968</v>
          </cell>
          <cell r="T70">
            <v>34347</v>
          </cell>
          <cell r="U70">
            <v>57742</v>
          </cell>
          <cell r="V70">
            <v>22761</v>
          </cell>
          <cell r="W70">
            <v>5929</v>
          </cell>
          <cell r="X70">
            <v>13411</v>
          </cell>
          <cell r="Y70">
            <v>19440</v>
          </cell>
        </row>
        <row r="71">
          <cell r="A71" t="str">
            <v>Ecuador</v>
          </cell>
          <cell r="C71">
            <v>6594</v>
          </cell>
          <cell r="D71">
            <v>74955</v>
          </cell>
          <cell r="E71">
            <v>111110</v>
          </cell>
          <cell r="F71">
            <v>24340</v>
          </cell>
          <cell r="G71">
            <v>6000</v>
          </cell>
          <cell r="I71">
            <v>2360</v>
          </cell>
          <cell r="K71">
            <v>11410</v>
          </cell>
          <cell r="L71">
            <v>12825</v>
          </cell>
          <cell r="N71">
            <v>52500</v>
          </cell>
          <cell r="O71">
            <v>80700</v>
          </cell>
          <cell r="Q71">
            <v>142492</v>
          </cell>
          <cell r="R71">
            <v>376878</v>
          </cell>
          <cell r="S71">
            <v>31098</v>
          </cell>
          <cell r="T71">
            <v>14048</v>
          </cell>
          <cell r="U71">
            <v>15663</v>
          </cell>
          <cell r="V71">
            <v>66350</v>
          </cell>
          <cell r="W71">
            <v>40341</v>
          </cell>
          <cell r="X71">
            <v>2060</v>
          </cell>
          <cell r="Y71">
            <v>17425</v>
          </cell>
        </row>
        <row r="72">
          <cell r="A72" t="str">
            <v>Malta</v>
          </cell>
          <cell r="H72">
            <v>6285</v>
          </cell>
          <cell r="N72">
            <v>2727</v>
          </cell>
          <cell r="T72">
            <v>5567</v>
          </cell>
          <cell r="V72">
            <v>5450</v>
          </cell>
          <cell r="Y72">
            <v>13309</v>
          </cell>
        </row>
        <row r="73">
          <cell r="A73" t="str">
            <v>Moldova</v>
          </cell>
          <cell r="B73">
            <v>26884</v>
          </cell>
          <cell r="C73">
            <v>44800</v>
          </cell>
          <cell r="D73">
            <v>47225</v>
          </cell>
          <cell r="E73">
            <v>26380</v>
          </cell>
          <cell r="F73">
            <v>8000</v>
          </cell>
          <cell r="G73">
            <v>16400</v>
          </cell>
          <cell r="H73">
            <v>52912</v>
          </cell>
          <cell r="I73">
            <v>15000</v>
          </cell>
          <cell r="J73">
            <v>20800</v>
          </cell>
          <cell r="K73">
            <v>38012</v>
          </cell>
          <cell r="L73">
            <v>20480</v>
          </cell>
          <cell r="M73">
            <v>31250</v>
          </cell>
          <cell r="N73">
            <v>37283</v>
          </cell>
          <cell r="O73">
            <v>35700</v>
          </cell>
          <cell r="P73">
            <v>16750</v>
          </cell>
          <cell r="Q73">
            <v>19856</v>
          </cell>
          <cell r="R73">
            <v>45810</v>
          </cell>
          <cell r="S73">
            <v>42100</v>
          </cell>
          <cell r="T73">
            <v>83084</v>
          </cell>
          <cell r="U73">
            <v>307835</v>
          </cell>
          <cell r="V73">
            <v>190990</v>
          </cell>
          <cell r="W73">
            <v>67020</v>
          </cell>
          <cell r="X73">
            <v>33335</v>
          </cell>
          <cell r="Y73">
            <v>8750</v>
          </cell>
        </row>
        <row r="74">
          <cell r="A74" t="str">
            <v>Belarus</v>
          </cell>
          <cell r="B74">
            <v>82800</v>
          </cell>
          <cell r="C74">
            <v>252658</v>
          </cell>
          <cell r="D74">
            <v>297135</v>
          </cell>
          <cell r="E74">
            <v>125000</v>
          </cell>
          <cell r="F74">
            <v>191410</v>
          </cell>
          <cell r="G74">
            <v>274980</v>
          </cell>
          <cell r="H74">
            <v>202200</v>
          </cell>
          <cell r="I74">
            <v>148496</v>
          </cell>
          <cell r="J74">
            <v>220066</v>
          </cell>
          <cell r="K74">
            <v>473865</v>
          </cell>
          <cell r="L74">
            <v>127500</v>
          </cell>
          <cell r="M74">
            <v>672426</v>
          </cell>
          <cell r="N74">
            <v>565961</v>
          </cell>
          <cell r="P74">
            <v>651604</v>
          </cell>
          <cell r="Q74">
            <v>979150</v>
          </cell>
          <cell r="R74">
            <v>734480</v>
          </cell>
          <cell r="S74">
            <v>215751</v>
          </cell>
          <cell r="T74">
            <v>139925</v>
          </cell>
          <cell r="U74">
            <v>15560</v>
          </cell>
          <cell r="V74">
            <v>321540</v>
          </cell>
        </row>
        <row r="75">
          <cell r="A75" t="str">
            <v>Latvia</v>
          </cell>
          <cell r="B75">
            <v>158500</v>
          </cell>
          <cell r="C75">
            <v>27170</v>
          </cell>
          <cell r="D75">
            <v>146510</v>
          </cell>
          <cell r="F75">
            <v>129126</v>
          </cell>
          <cell r="K75">
            <v>316438</v>
          </cell>
          <cell r="L75">
            <v>173721</v>
          </cell>
          <cell r="M75">
            <v>247697</v>
          </cell>
          <cell r="N75">
            <v>118766</v>
          </cell>
          <cell r="O75">
            <v>170916</v>
          </cell>
          <cell r="P75">
            <v>315131</v>
          </cell>
          <cell r="Q75">
            <v>304623</v>
          </cell>
          <cell r="S75">
            <v>4256</v>
          </cell>
          <cell r="U75">
            <v>10899</v>
          </cell>
          <cell r="V75">
            <v>7073</v>
          </cell>
          <cell r="X75">
            <v>11162</v>
          </cell>
        </row>
        <row r="76">
          <cell r="A76" t="str">
            <v>Bahrain</v>
          </cell>
          <cell r="E76">
            <v>28000</v>
          </cell>
          <cell r="J76">
            <v>963463</v>
          </cell>
          <cell r="K76">
            <v>36642</v>
          </cell>
          <cell r="M76">
            <v>75770</v>
          </cell>
          <cell r="O76">
            <v>56247</v>
          </cell>
          <cell r="P76">
            <v>6675</v>
          </cell>
          <cell r="X76">
            <v>26596</v>
          </cell>
        </row>
        <row r="77">
          <cell r="A77" t="str">
            <v>Iceland</v>
          </cell>
          <cell r="C77">
            <v>16683</v>
          </cell>
          <cell r="D77">
            <v>15032</v>
          </cell>
          <cell r="E77">
            <v>37947</v>
          </cell>
          <cell r="G77">
            <v>29324</v>
          </cell>
          <cell r="I77">
            <v>30912</v>
          </cell>
          <cell r="J77">
            <v>95871</v>
          </cell>
          <cell r="K77">
            <v>124886</v>
          </cell>
          <cell r="L77">
            <v>22221</v>
          </cell>
          <cell r="M77">
            <v>25495</v>
          </cell>
          <cell r="O77">
            <v>25784</v>
          </cell>
          <cell r="R77">
            <v>31789</v>
          </cell>
          <cell r="V77">
            <v>75000</v>
          </cell>
          <cell r="X77">
            <v>24000</v>
          </cell>
        </row>
        <row r="78">
          <cell r="A78" t="str">
            <v>Macedonia</v>
          </cell>
          <cell r="S78">
            <v>5000</v>
          </cell>
        </row>
      </sheetData>
      <sheetData sheetId="7">
        <row r="2">
          <cell r="A2" t="str">
            <v>All Geographic Regions (World Total)</v>
          </cell>
          <cell r="B2">
            <v>994146026</v>
          </cell>
          <cell r="C2">
            <v>1027007465</v>
          </cell>
          <cell r="D2">
            <v>1081033728</v>
          </cell>
          <cell r="E2">
            <v>1104092971</v>
          </cell>
          <cell r="F2">
            <v>1194029482</v>
          </cell>
          <cell r="G2">
            <v>1039508151</v>
          </cell>
          <cell r="H2">
            <v>999491465</v>
          </cell>
          <cell r="I2">
            <v>770635247</v>
          </cell>
          <cell r="J2">
            <v>863336300</v>
          </cell>
          <cell r="K2">
            <v>941730607</v>
          </cell>
          <cell r="L2">
            <v>1242559200</v>
          </cell>
          <cell r="M2">
            <v>1451926292</v>
          </cell>
          <cell r="N2">
            <v>1421127857</v>
          </cell>
          <cell r="O2">
            <v>1550589115</v>
          </cell>
          <cell r="P2">
            <v>1607223549</v>
          </cell>
          <cell r="Q2">
            <v>1950369715</v>
          </cell>
          <cell r="R2">
            <v>2048218137</v>
          </cell>
          <cell r="S2">
            <v>1848271098</v>
          </cell>
          <cell r="T2">
            <v>1592391419</v>
          </cell>
          <cell r="U2">
            <v>1788229426</v>
          </cell>
          <cell r="V2">
            <v>1823645930</v>
          </cell>
          <cell r="W2">
            <v>1823814647</v>
          </cell>
          <cell r="X2">
            <v>1614509924</v>
          </cell>
          <cell r="Y2">
            <v>1616829002</v>
          </cell>
        </row>
        <row r="3">
          <cell r="A3" t="str">
            <v>North America</v>
          </cell>
          <cell r="B3">
            <v>587656719</v>
          </cell>
          <cell r="C3">
            <v>582586325</v>
          </cell>
          <cell r="D3">
            <v>553749597</v>
          </cell>
          <cell r="E3">
            <v>643769590</v>
          </cell>
          <cell r="F3">
            <v>642196644</v>
          </cell>
          <cell r="G3">
            <v>498678816</v>
          </cell>
          <cell r="H3">
            <v>483088677</v>
          </cell>
          <cell r="I3">
            <v>362791506</v>
          </cell>
          <cell r="J3">
            <v>396942356</v>
          </cell>
          <cell r="K3">
            <v>380514807</v>
          </cell>
          <cell r="L3">
            <v>481219440</v>
          </cell>
          <cell r="M3">
            <v>694254671</v>
          </cell>
          <cell r="N3">
            <v>654908872</v>
          </cell>
          <cell r="O3">
            <v>768370553</v>
          </cell>
          <cell r="P3">
            <v>795289783</v>
          </cell>
          <cell r="Q3">
            <v>964795899</v>
          </cell>
          <cell r="R3">
            <v>1004202444</v>
          </cell>
          <cell r="S3">
            <v>913988122</v>
          </cell>
          <cell r="T3">
            <v>731288124</v>
          </cell>
          <cell r="U3">
            <v>906853878</v>
          </cell>
          <cell r="V3">
            <v>937512600</v>
          </cell>
          <cell r="W3">
            <v>1050602744</v>
          </cell>
          <cell r="X3">
            <v>742666386</v>
          </cell>
          <cell r="Y3">
            <v>746480903</v>
          </cell>
        </row>
        <row r="4">
          <cell r="A4" t="str">
            <v>Canada</v>
          </cell>
          <cell r="B4">
            <v>583775976</v>
          </cell>
          <cell r="C4">
            <v>580462322</v>
          </cell>
          <cell r="D4">
            <v>549050092</v>
          </cell>
          <cell r="E4">
            <v>640543736</v>
          </cell>
          <cell r="F4">
            <v>636302812</v>
          </cell>
          <cell r="G4">
            <v>494702062</v>
          </cell>
          <cell r="H4">
            <v>478627577</v>
          </cell>
          <cell r="I4">
            <v>352884433</v>
          </cell>
          <cell r="J4">
            <v>390056451</v>
          </cell>
          <cell r="K4">
            <v>372443083</v>
          </cell>
          <cell r="L4">
            <v>471006504</v>
          </cell>
          <cell r="M4">
            <v>682260355</v>
          </cell>
          <cell r="N4">
            <v>642386770</v>
          </cell>
          <cell r="O4">
            <v>753354409</v>
          </cell>
          <cell r="P4">
            <v>781613390</v>
          </cell>
          <cell r="Q4">
            <v>944950351</v>
          </cell>
          <cell r="R4">
            <v>985312218</v>
          </cell>
          <cell r="S4">
            <v>896231931</v>
          </cell>
          <cell r="T4">
            <v>714114595</v>
          </cell>
          <cell r="U4">
            <v>887058962</v>
          </cell>
          <cell r="V4">
            <v>910082842</v>
          </cell>
          <cell r="W4">
            <v>1012497718</v>
          </cell>
          <cell r="X4">
            <v>715806660</v>
          </cell>
          <cell r="Y4">
            <v>713580547</v>
          </cell>
        </row>
        <row r="5">
          <cell r="A5" t="str">
            <v>Asia</v>
          </cell>
          <cell r="B5">
            <v>274286707</v>
          </cell>
          <cell r="C5">
            <v>278170939</v>
          </cell>
          <cell r="D5">
            <v>335857238</v>
          </cell>
          <cell r="E5">
            <v>293142174</v>
          </cell>
          <cell r="F5">
            <v>348542110</v>
          </cell>
          <cell r="G5">
            <v>335721748</v>
          </cell>
          <cell r="H5">
            <v>347649548</v>
          </cell>
          <cell r="I5">
            <v>285198461</v>
          </cell>
          <cell r="J5">
            <v>328603975</v>
          </cell>
          <cell r="K5">
            <v>385108207</v>
          </cell>
          <cell r="L5">
            <v>592998673</v>
          </cell>
          <cell r="M5">
            <v>532925847</v>
          </cell>
          <cell r="N5">
            <v>544784118</v>
          </cell>
          <cell r="O5">
            <v>600271931</v>
          </cell>
          <cell r="P5">
            <v>615208270</v>
          </cell>
          <cell r="Q5">
            <v>729781035</v>
          </cell>
          <cell r="R5">
            <v>749730218</v>
          </cell>
          <cell r="S5">
            <v>696595135</v>
          </cell>
          <cell r="T5">
            <v>650239472</v>
          </cell>
          <cell r="U5">
            <v>594337066</v>
          </cell>
          <cell r="V5">
            <v>593201238</v>
          </cell>
          <cell r="W5">
            <v>491453474</v>
          </cell>
          <cell r="X5">
            <v>544857033</v>
          </cell>
          <cell r="Y5">
            <v>491200827</v>
          </cell>
        </row>
        <row r="6">
          <cell r="A6" t="str">
            <v>Asia - Other</v>
          </cell>
          <cell r="B6">
            <v>272532552</v>
          </cell>
          <cell r="C6">
            <v>276440995</v>
          </cell>
          <cell r="D6">
            <v>333761267</v>
          </cell>
          <cell r="E6">
            <v>290470441</v>
          </cell>
          <cell r="F6">
            <v>347483794</v>
          </cell>
          <cell r="G6">
            <v>331809202</v>
          </cell>
          <cell r="H6">
            <v>342459387</v>
          </cell>
          <cell r="I6">
            <v>282562105</v>
          </cell>
          <cell r="J6">
            <v>327381681</v>
          </cell>
          <cell r="K6">
            <v>384046734</v>
          </cell>
          <cell r="L6">
            <v>590001368</v>
          </cell>
          <cell r="M6">
            <v>529152016</v>
          </cell>
          <cell r="N6">
            <v>542015479</v>
          </cell>
          <cell r="O6">
            <v>595903776</v>
          </cell>
          <cell r="P6">
            <v>611817495</v>
          </cell>
          <cell r="Q6">
            <v>722281113</v>
          </cell>
          <cell r="R6">
            <v>743082435</v>
          </cell>
          <cell r="S6">
            <v>690017035</v>
          </cell>
          <cell r="T6">
            <v>643883097</v>
          </cell>
          <cell r="U6">
            <v>580635895</v>
          </cell>
          <cell r="V6">
            <v>579578451</v>
          </cell>
          <cell r="W6">
            <v>482647456</v>
          </cell>
          <cell r="X6">
            <v>534670795</v>
          </cell>
          <cell r="Y6">
            <v>479972320</v>
          </cell>
        </row>
        <row r="7">
          <cell r="A7" t="str">
            <v>China</v>
          </cell>
          <cell r="B7">
            <v>22447923</v>
          </cell>
          <cell r="C7">
            <v>32144925</v>
          </cell>
          <cell r="D7">
            <v>43615999</v>
          </cell>
          <cell r="E7">
            <v>65586715</v>
          </cell>
          <cell r="F7">
            <v>91006773</v>
          </cell>
          <cell r="G7">
            <v>116886067</v>
          </cell>
          <cell r="H7">
            <v>132914928</v>
          </cell>
          <cell r="I7">
            <v>109677575</v>
          </cell>
          <cell r="J7">
            <v>155170930</v>
          </cell>
          <cell r="K7">
            <v>186497489</v>
          </cell>
          <cell r="L7">
            <v>272910057</v>
          </cell>
          <cell r="M7">
            <v>293207027</v>
          </cell>
          <cell r="N7">
            <v>293896820</v>
          </cell>
          <cell r="O7">
            <v>343138146</v>
          </cell>
          <cell r="P7">
            <v>345121800</v>
          </cell>
          <cell r="Q7">
            <v>433035784</v>
          </cell>
          <cell r="R7">
            <v>436248436</v>
          </cell>
          <cell r="S7">
            <v>415537387</v>
          </cell>
          <cell r="T7">
            <v>322687236</v>
          </cell>
          <cell r="U7">
            <v>327771778</v>
          </cell>
          <cell r="V7">
            <v>304676432</v>
          </cell>
          <cell r="W7">
            <v>284802550</v>
          </cell>
          <cell r="X7">
            <v>247842965</v>
          </cell>
          <cell r="Y7">
            <v>257066223</v>
          </cell>
        </row>
        <row r="8">
          <cell r="A8" t="str">
            <v>Europe</v>
          </cell>
          <cell r="B8">
            <v>125300513</v>
          </cell>
          <cell r="C8">
            <v>157095293</v>
          </cell>
          <cell r="D8">
            <v>182121946</v>
          </cell>
          <cell r="E8">
            <v>162418320</v>
          </cell>
          <cell r="F8">
            <v>197015626</v>
          </cell>
          <cell r="G8">
            <v>185273962</v>
          </cell>
          <cell r="H8">
            <v>156406522</v>
          </cell>
          <cell r="I8">
            <v>118853467</v>
          </cell>
          <cell r="J8">
            <v>131682949</v>
          </cell>
          <cell r="K8">
            <v>172286534</v>
          </cell>
          <cell r="L8">
            <v>164625326</v>
          </cell>
          <cell r="M8">
            <v>217396035</v>
          </cell>
          <cell r="N8">
            <v>215451646</v>
          </cell>
          <cell r="O8">
            <v>177676251</v>
          </cell>
          <cell r="P8">
            <v>193609723</v>
          </cell>
          <cell r="Q8">
            <v>250663826</v>
          </cell>
          <cell r="R8">
            <v>289666847</v>
          </cell>
          <cell r="S8">
            <v>235343738</v>
          </cell>
          <cell r="T8">
            <v>209490957</v>
          </cell>
          <cell r="U8">
            <v>284631006</v>
          </cell>
          <cell r="V8">
            <v>286478506</v>
          </cell>
          <cell r="W8">
            <v>275058685</v>
          </cell>
          <cell r="X8">
            <v>320979111</v>
          </cell>
          <cell r="Y8">
            <v>374849015</v>
          </cell>
        </row>
        <row r="9">
          <cell r="A9" t="str">
            <v>Japan</v>
          </cell>
          <cell r="B9">
            <v>190017077</v>
          </cell>
          <cell r="C9">
            <v>175825292</v>
          </cell>
          <cell r="D9">
            <v>214292392</v>
          </cell>
          <cell r="E9">
            <v>135158853</v>
          </cell>
          <cell r="F9">
            <v>162808687</v>
          </cell>
          <cell r="G9">
            <v>131216233</v>
          </cell>
          <cell r="H9">
            <v>131511741</v>
          </cell>
          <cell r="I9">
            <v>94817643</v>
          </cell>
          <cell r="J9">
            <v>100515067</v>
          </cell>
          <cell r="K9">
            <v>124292390</v>
          </cell>
          <cell r="L9">
            <v>187381527</v>
          </cell>
          <cell r="M9">
            <v>124812779</v>
          </cell>
          <cell r="N9">
            <v>105096271</v>
          </cell>
          <cell r="O9">
            <v>95592402</v>
          </cell>
          <cell r="P9">
            <v>146956297</v>
          </cell>
          <cell r="Q9">
            <v>131536354</v>
          </cell>
          <cell r="R9">
            <v>131687314</v>
          </cell>
          <cell r="S9">
            <v>116678889</v>
          </cell>
          <cell r="T9">
            <v>105663963</v>
          </cell>
          <cell r="U9">
            <v>102806378</v>
          </cell>
          <cell r="V9">
            <v>115179682</v>
          </cell>
          <cell r="W9">
            <v>49093115</v>
          </cell>
          <cell r="X9">
            <v>71624840</v>
          </cell>
          <cell r="Y9">
            <v>83912418</v>
          </cell>
        </row>
        <row r="10">
          <cell r="A10" t="str">
            <v>Germany</v>
          </cell>
          <cell r="B10">
            <v>36197437</v>
          </cell>
          <cell r="C10">
            <v>44781721</v>
          </cell>
          <cell r="D10">
            <v>64066922</v>
          </cell>
          <cell r="E10">
            <v>73503008</v>
          </cell>
          <cell r="F10">
            <v>81315661</v>
          </cell>
          <cell r="G10">
            <v>78645733</v>
          </cell>
          <cell r="H10">
            <v>64417429</v>
          </cell>
          <cell r="I10">
            <v>42039269</v>
          </cell>
          <cell r="J10">
            <v>65929700</v>
          </cell>
          <cell r="K10">
            <v>78084373</v>
          </cell>
          <cell r="L10">
            <v>64972670</v>
          </cell>
          <cell r="M10">
            <v>92032789</v>
          </cell>
          <cell r="N10">
            <v>82208251</v>
          </cell>
          <cell r="O10">
            <v>65167401</v>
          </cell>
          <cell r="P10">
            <v>78613316</v>
          </cell>
          <cell r="Q10">
            <v>108163949</v>
          </cell>
          <cell r="R10">
            <v>122375072</v>
          </cell>
          <cell r="S10">
            <v>96115903</v>
          </cell>
          <cell r="T10">
            <v>66627494</v>
          </cell>
          <cell r="U10">
            <v>100238842</v>
          </cell>
          <cell r="V10">
            <v>79579762</v>
          </cell>
          <cell r="W10">
            <v>63450143</v>
          </cell>
          <cell r="X10">
            <v>107001818</v>
          </cell>
          <cell r="Y10">
            <v>118214910</v>
          </cell>
        </row>
        <row r="11">
          <cell r="A11" t="str">
            <v>Korea, South</v>
          </cell>
          <cell r="B11">
            <v>16291541</v>
          </cell>
          <cell r="C11">
            <v>13932789</v>
          </cell>
          <cell r="D11">
            <v>21609804</v>
          </cell>
          <cell r="E11">
            <v>27054786</v>
          </cell>
          <cell r="F11">
            <v>29674250</v>
          </cell>
          <cell r="G11">
            <v>32423400</v>
          </cell>
          <cell r="H11">
            <v>23540981</v>
          </cell>
          <cell r="I11">
            <v>41397560</v>
          </cell>
          <cell r="J11">
            <v>36553714</v>
          </cell>
          <cell r="K11">
            <v>28317053</v>
          </cell>
          <cell r="L11">
            <v>81228960</v>
          </cell>
          <cell r="M11">
            <v>62623680</v>
          </cell>
          <cell r="N11">
            <v>89998161</v>
          </cell>
          <cell r="O11">
            <v>104441795</v>
          </cell>
          <cell r="P11">
            <v>71296599</v>
          </cell>
          <cell r="Q11">
            <v>102538644</v>
          </cell>
          <cell r="R11">
            <v>124577059</v>
          </cell>
          <cell r="S11">
            <v>105854495</v>
          </cell>
          <cell r="T11">
            <v>164092882</v>
          </cell>
          <cell r="U11">
            <v>95663929</v>
          </cell>
          <cell r="V11">
            <v>97556800</v>
          </cell>
          <cell r="W11">
            <v>93981687</v>
          </cell>
          <cell r="X11">
            <v>159434830</v>
          </cell>
          <cell r="Y11">
            <v>85723928</v>
          </cell>
        </row>
        <row r="12">
          <cell r="A12" t="str">
            <v>Taiwan</v>
          </cell>
          <cell r="B12">
            <v>28486908</v>
          </cell>
          <cell r="C12">
            <v>39825746</v>
          </cell>
          <cell r="D12">
            <v>38672105</v>
          </cell>
          <cell r="E12">
            <v>47188562</v>
          </cell>
          <cell r="F12">
            <v>46691884</v>
          </cell>
          <cell r="G12">
            <v>32743305</v>
          </cell>
          <cell r="H12">
            <v>34941484</v>
          </cell>
          <cell r="I12">
            <v>22501681</v>
          </cell>
          <cell r="J12">
            <v>20984979</v>
          </cell>
          <cell r="K12">
            <v>26173382</v>
          </cell>
          <cell r="L12">
            <v>29043487</v>
          </cell>
          <cell r="M12">
            <v>33401724</v>
          </cell>
          <cell r="N12">
            <v>37732613</v>
          </cell>
          <cell r="O12">
            <v>33554680</v>
          </cell>
          <cell r="P12">
            <v>31750555</v>
          </cell>
          <cell r="Q12">
            <v>33328902</v>
          </cell>
          <cell r="R12">
            <v>30893485</v>
          </cell>
          <cell r="S12">
            <v>35547189</v>
          </cell>
          <cell r="T12">
            <v>33489050</v>
          </cell>
          <cell r="U12">
            <v>35688205</v>
          </cell>
          <cell r="V12">
            <v>43988749</v>
          </cell>
          <cell r="W12">
            <v>26314798</v>
          </cell>
          <cell r="X12">
            <v>31308686</v>
          </cell>
          <cell r="Y12">
            <v>28802185</v>
          </cell>
        </row>
        <row r="13">
          <cell r="A13" t="str">
            <v>Italy</v>
          </cell>
          <cell r="B13">
            <v>16263671</v>
          </cell>
          <cell r="C13">
            <v>14340082</v>
          </cell>
          <cell r="D13">
            <v>16424961</v>
          </cell>
          <cell r="E13">
            <v>10039479</v>
          </cell>
          <cell r="F13">
            <v>14250908</v>
          </cell>
          <cell r="G13">
            <v>17879239</v>
          </cell>
          <cell r="H13">
            <v>10729717</v>
          </cell>
          <cell r="I13">
            <v>10648070</v>
          </cell>
          <cell r="J13">
            <v>11146528</v>
          </cell>
          <cell r="K13">
            <v>19884318</v>
          </cell>
          <cell r="L13">
            <v>21898407</v>
          </cell>
          <cell r="M13">
            <v>25712900</v>
          </cell>
          <cell r="N13">
            <v>28305124</v>
          </cell>
          <cell r="O13">
            <v>29357510</v>
          </cell>
          <cell r="P13">
            <v>29381315</v>
          </cell>
          <cell r="Q13">
            <v>35703475</v>
          </cell>
          <cell r="R13">
            <v>30026135</v>
          </cell>
          <cell r="S13">
            <v>26966795</v>
          </cell>
          <cell r="T13">
            <v>28859756</v>
          </cell>
          <cell r="U13">
            <v>40003640</v>
          </cell>
          <cell r="V13">
            <v>44507222</v>
          </cell>
          <cell r="W13">
            <v>51645245</v>
          </cell>
          <cell r="X13">
            <v>36850764</v>
          </cell>
          <cell r="Y13">
            <v>37721697</v>
          </cell>
        </row>
        <row r="14">
          <cell r="A14" t="str">
            <v>Portugal</v>
          </cell>
          <cell r="B14">
            <v>29106898</v>
          </cell>
          <cell r="C14">
            <v>43807921</v>
          </cell>
          <cell r="D14">
            <v>30777668</v>
          </cell>
          <cell r="E14">
            <v>20652421</v>
          </cell>
          <cell r="F14">
            <v>26101829</v>
          </cell>
          <cell r="G14">
            <v>19988552</v>
          </cell>
          <cell r="H14">
            <v>12253973</v>
          </cell>
          <cell r="I14">
            <v>12976249</v>
          </cell>
          <cell r="J14">
            <v>12756262</v>
          </cell>
          <cell r="K14">
            <v>11751497</v>
          </cell>
          <cell r="L14">
            <v>12859200</v>
          </cell>
          <cell r="M14">
            <v>22002572</v>
          </cell>
          <cell r="N14">
            <v>23255846</v>
          </cell>
          <cell r="O14">
            <v>13915775</v>
          </cell>
          <cell r="P14">
            <v>13415729</v>
          </cell>
          <cell r="Q14">
            <v>19987075</v>
          </cell>
          <cell r="R14">
            <v>27698388</v>
          </cell>
          <cell r="S14">
            <v>15870306</v>
          </cell>
          <cell r="T14">
            <v>10149374</v>
          </cell>
          <cell r="U14">
            <v>23825783</v>
          </cell>
          <cell r="V14">
            <v>25089976</v>
          </cell>
          <cell r="W14">
            <v>25596055</v>
          </cell>
          <cell r="X14">
            <v>40305566</v>
          </cell>
          <cell r="Y14">
            <v>32689623</v>
          </cell>
        </row>
        <row r="15">
          <cell r="A15" t="str">
            <v>Austria</v>
          </cell>
          <cell r="B15">
            <v>6147941</v>
          </cell>
          <cell r="C15">
            <v>11073962</v>
          </cell>
          <cell r="D15">
            <v>8696549</v>
          </cell>
          <cell r="E15">
            <v>12292749</v>
          </cell>
          <cell r="F15">
            <v>13775168</v>
          </cell>
          <cell r="G15">
            <v>13277755</v>
          </cell>
          <cell r="H15">
            <v>18226652</v>
          </cell>
          <cell r="I15">
            <v>13329383</v>
          </cell>
          <cell r="J15">
            <v>7095624</v>
          </cell>
          <cell r="K15">
            <v>18750822</v>
          </cell>
          <cell r="L15">
            <v>16622494</v>
          </cell>
          <cell r="M15">
            <v>17099749</v>
          </cell>
          <cell r="N15">
            <v>18920526</v>
          </cell>
          <cell r="O15">
            <v>19340582</v>
          </cell>
          <cell r="P15">
            <v>24301474</v>
          </cell>
          <cell r="Q15">
            <v>26702634</v>
          </cell>
          <cell r="R15">
            <v>27783099</v>
          </cell>
          <cell r="S15">
            <v>18674040</v>
          </cell>
          <cell r="T15">
            <v>25229414</v>
          </cell>
          <cell r="U15">
            <v>30301118</v>
          </cell>
          <cell r="V15">
            <v>26855634</v>
          </cell>
          <cell r="W15">
            <v>28580831</v>
          </cell>
          <cell r="X15">
            <v>30628950</v>
          </cell>
          <cell r="Y15">
            <v>34577572</v>
          </cell>
        </row>
        <row r="16">
          <cell r="A16" t="str">
            <v>Switzerland</v>
          </cell>
          <cell r="B16">
            <v>3993959</v>
          </cell>
          <cell r="C16">
            <v>4816093</v>
          </cell>
          <cell r="D16">
            <v>10064097</v>
          </cell>
          <cell r="E16">
            <v>8466869</v>
          </cell>
          <cell r="F16">
            <v>17169616</v>
          </cell>
          <cell r="G16">
            <v>7456147</v>
          </cell>
          <cell r="H16">
            <v>5603546</v>
          </cell>
          <cell r="I16">
            <v>9286776</v>
          </cell>
          <cell r="J16">
            <v>7930869</v>
          </cell>
          <cell r="K16">
            <v>8186849</v>
          </cell>
          <cell r="L16">
            <v>10205770</v>
          </cell>
          <cell r="M16">
            <v>11870845</v>
          </cell>
          <cell r="N16">
            <v>11907515</v>
          </cell>
          <cell r="O16">
            <v>13557289</v>
          </cell>
          <cell r="P16">
            <v>9928079</v>
          </cell>
          <cell r="Q16">
            <v>19241275</v>
          </cell>
          <cell r="R16">
            <v>25729016</v>
          </cell>
          <cell r="S16">
            <v>23835830</v>
          </cell>
          <cell r="T16">
            <v>19621066</v>
          </cell>
          <cell r="U16">
            <v>26031867</v>
          </cell>
          <cell r="V16">
            <v>41849533</v>
          </cell>
          <cell r="W16">
            <v>31452034</v>
          </cell>
          <cell r="X16">
            <v>26903756</v>
          </cell>
          <cell r="Y16">
            <v>26606569</v>
          </cell>
        </row>
        <row r="17">
          <cell r="A17" t="str">
            <v>Mexico</v>
          </cell>
          <cell r="B17">
            <v>3880743</v>
          </cell>
          <cell r="C17">
            <v>2124003</v>
          </cell>
          <cell r="D17">
            <v>4699505</v>
          </cell>
          <cell r="E17">
            <v>3225854</v>
          </cell>
          <cell r="F17">
            <v>5893832</v>
          </cell>
          <cell r="G17">
            <v>3976754</v>
          </cell>
          <cell r="H17">
            <v>4461100</v>
          </cell>
          <cell r="I17">
            <v>9907073</v>
          </cell>
          <cell r="J17">
            <v>6885905</v>
          </cell>
          <cell r="K17">
            <v>8071724</v>
          </cell>
          <cell r="L17">
            <v>10212936</v>
          </cell>
          <cell r="M17">
            <v>11994316</v>
          </cell>
          <cell r="N17">
            <v>12522102</v>
          </cell>
          <cell r="O17">
            <v>15016144</v>
          </cell>
          <cell r="P17">
            <v>13676393</v>
          </cell>
          <cell r="Q17">
            <v>19845548</v>
          </cell>
          <cell r="R17">
            <v>18890226</v>
          </cell>
          <cell r="S17">
            <v>17756191</v>
          </cell>
          <cell r="T17">
            <v>17173529</v>
          </cell>
          <cell r="U17">
            <v>19794916</v>
          </cell>
          <cell r="V17">
            <v>27429758</v>
          </cell>
          <cell r="W17">
            <v>38105026</v>
          </cell>
          <cell r="X17">
            <v>26859726</v>
          </cell>
          <cell r="Y17">
            <v>32900356</v>
          </cell>
        </row>
        <row r="18">
          <cell r="A18" t="str">
            <v>France</v>
          </cell>
          <cell r="B18">
            <v>8553112</v>
          </cell>
          <cell r="C18">
            <v>8768648</v>
          </cell>
          <cell r="D18">
            <v>8351009</v>
          </cell>
          <cell r="E18">
            <v>6399898</v>
          </cell>
          <cell r="F18">
            <v>10225215</v>
          </cell>
          <cell r="G18">
            <v>11210180</v>
          </cell>
          <cell r="H18">
            <v>11980813</v>
          </cell>
          <cell r="I18">
            <v>9251284</v>
          </cell>
          <cell r="J18">
            <v>7697409</v>
          </cell>
          <cell r="K18">
            <v>8885507</v>
          </cell>
          <cell r="L18">
            <v>13219552</v>
          </cell>
          <cell r="M18">
            <v>13096652</v>
          </cell>
          <cell r="N18">
            <v>12721505</v>
          </cell>
          <cell r="O18">
            <v>10929864</v>
          </cell>
          <cell r="P18">
            <v>7976669</v>
          </cell>
          <cell r="Q18">
            <v>10689265</v>
          </cell>
          <cell r="R18">
            <v>12364600</v>
          </cell>
          <cell r="S18">
            <v>12480488</v>
          </cell>
          <cell r="T18">
            <v>16298498</v>
          </cell>
          <cell r="U18">
            <v>11537676</v>
          </cell>
          <cell r="V18">
            <v>10439531</v>
          </cell>
          <cell r="W18">
            <v>13848293</v>
          </cell>
          <cell r="X18">
            <v>15887925</v>
          </cell>
          <cell r="Y18">
            <v>13079210</v>
          </cell>
        </row>
        <row r="19">
          <cell r="A19" t="str">
            <v>Netherlands</v>
          </cell>
          <cell r="B19">
            <v>4806467</v>
          </cell>
          <cell r="C19">
            <v>5677681</v>
          </cell>
          <cell r="D19">
            <v>8371540</v>
          </cell>
          <cell r="E19">
            <v>9641174</v>
          </cell>
          <cell r="F19">
            <v>5401464</v>
          </cell>
          <cell r="G19">
            <v>8149376</v>
          </cell>
          <cell r="H19">
            <v>6503076</v>
          </cell>
          <cell r="I19">
            <v>2639881</v>
          </cell>
          <cell r="J19">
            <v>2210564</v>
          </cell>
          <cell r="K19">
            <v>3440259</v>
          </cell>
          <cell r="L19">
            <v>3061943</v>
          </cell>
          <cell r="M19">
            <v>3340929</v>
          </cell>
          <cell r="N19">
            <v>8592537</v>
          </cell>
          <cell r="O19">
            <v>2406424</v>
          </cell>
          <cell r="P19">
            <v>4574838</v>
          </cell>
          <cell r="Q19">
            <v>4267671</v>
          </cell>
          <cell r="R19">
            <v>4152244</v>
          </cell>
          <cell r="S19">
            <v>3598125</v>
          </cell>
          <cell r="T19">
            <v>5477039</v>
          </cell>
          <cell r="U19">
            <v>10251021</v>
          </cell>
          <cell r="V19">
            <v>12405546</v>
          </cell>
          <cell r="W19">
            <v>10901240</v>
          </cell>
          <cell r="X19">
            <v>24962900</v>
          </cell>
          <cell r="Y19">
            <v>66052119</v>
          </cell>
        </row>
        <row r="20">
          <cell r="A20" t="str">
            <v>United Kingdom</v>
          </cell>
          <cell r="B20">
            <v>5520114</v>
          </cell>
          <cell r="C20">
            <v>4728445</v>
          </cell>
          <cell r="D20">
            <v>9128494</v>
          </cell>
          <cell r="E20">
            <v>5214825</v>
          </cell>
          <cell r="F20">
            <v>14163149</v>
          </cell>
          <cell r="G20">
            <v>10451207</v>
          </cell>
          <cell r="H20">
            <v>9582687</v>
          </cell>
          <cell r="I20">
            <v>6323923</v>
          </cell>
          <cell r="J20">
            <v>5327709</v>
          </cell>
          <cell r="K20">
            <v>7715823</v>
          </cell>
          <cell r="L20">
            <v>6412183</v>
          </cell>
          <cell r="M20">
            <v>7953137</v>
          </cell>
          <cell r="N20">
            <v>10995011</v>
          </cell>
          <cell r="O20">
            <v>7530901</v>
          </cell>
          <cell r="P20">
            <v>7342304</v>
          </cell>
          <cell r="Q20">
            <v>5701394</v>
          </cell>
          <cell r="R20">
            <v>5087140</v>
          </cell>
          <cell r="S20">
            <v>9617131</v>
          </cell>
          <cell r="T20">
            <v>6400313</v>
          </cell>
          <cell r="U20">
            <v>8026446</v>
          </cell>
          <cell r="V20">
            <v>8445758</v>
          </cell>
          <cell r="W20">
            <v>12430843</v>
          </cell>
          <cell r="X20">
            <v>10117127</v>
          </cell>
          <cell r="Y20">
            <v>10459308</v>
          </cell>
        </row>
        <row r="21">
          <cell r="A21" t="str">
            <v>Singapore</v>
          </cell>
          <cell r="B21">
            <v>5920544</v>
          </cell>
          <cell r="C21">
            <v>4471870</v>
          </cell>
          <cell r="D21">
            <v>5741583</v>
          </cell>
          <cell r="E21">
            <v>4710745</v>
          </cell>
          <cell r="F21">
            <v>7272164</v>
          </cell>
          <cell r="G21">
            <v>7510402</v>
          </cell>
          <cell r="H21">
            <v>7261853</v>
          </cell>
          <cell r="I21">
            <v>4833217</v>
          </cell>
          <cell r="J21">
            <v>3612649</v>
          </cell>
          <cell r="K21">
            <v>6263132</v>
          </cell>
          <cell r="L21">
            <v>7438552</v>
          </cell>
          <cell r="M21">
            <v>5364298</v>
          </cell>
          <cell r="N21">
            <v>5999909</v>
          </cell>
          <cell r="O21">
            <v>8629689</v>
          </cell>
          <cell r="P21">
            <v>8382819</v>
          </cell>
          <cell r="Q21">
            <v>8023172</v>
          </cell>
          <cell r="R21">
            <v>6340534</v>
          </cell>
          <cell r="S21">
            <v>7675262</v>
          </cell>
          <cell r="T21">
            <v>8758569</v>
          </cell>
          <cell r="U21">
            <v>8799587</v>
          </cell>
          <cell r="V21">
            <v>5164281</v>
          </cell>
          <cell r="W21">
            <v>10107171</v>
          </cell>
          <cell r="X21">
            <v>6858251</v>
          </cell>
          <cell r="Y21">
            <v>4847504</v>
          </cell>
        </row>
        <row r="22">
          <cell r="A22" t="str">
            <v>Spain</v>
          </cell>
          <cell r="B22">
            <v>1274774</v>
          </cell>
          <cell r="C22">
            <v>2434135</v>
          </cell>
          <cell r="D22">
            <v>9151508</v>
          </cell>
          <cell r="E22">
            <v>1206789</v>
          </cell>
          <cell r="F22">
            <v>3619021</v>
          </cell>
          <cell r="G22">
            <v>3433693</v>
          </cell>
          <cell r="H22">
            <v>2460520</v>
          </cell>
          <cell r="I22">
            <v>3289570</v>
          </cell>
          <cell r="J22">
            <v>1465989</v>
          </cell>
          <cell r="K22">
            <v>1927516</v>
          </cell>
          <cell r="L22">
            <v>2649300</v>
          </cell>
          <cell r="M22">
            <v>5547067</v>
          </cell>
          <cell r="N22">
            <v>5223575</v>
          </cell>
          <cell r="O22">
            <v>2601239</v>
          </cell>
          <cell r="P22">
            <v>8210260</v>
          </cell>
          <cell r="Q22">
            <v>4894406</v>
          </cell>
          <cell r="R22">
            <v>11441769</v>
          </cell>
          <cell r="S22">
            <v>7130596</v>
          </cell>
          <cell r="T22">
            <v>7956436</v>
          </cell>
          <cell r="U22">
            <v>11165682</v>
          </cell>
          <cell r="V22">
            <v>14886059</v>
          </cell>
          <cell r="W22">
            <v>7563075</v>
          </cell>
          <cell r="X22">
            <v>8074477</v>
          </cell>
          <cell r="Y22">
            <v>16185702</v>
          </cell>
        </row>
        <row r="23">
          <cell r="A23" t="str">
            <v>Hong Kong</v>
          </cell>
          <cell r="B23">
            <v>7470754</v>
          </cell>
          <cell r="C23">
            <v>7906641</v>
          </cell>
          <cell r="D23">
            <v>7706236</v>
          </cell>
          <cell r="E23">
            <v>9041226</v>
          </cell>
          <cell r="F23">
            <v>7225753</v>
          </cell>
          <cell r="G23">
            <v>8149712</v>
          </cell>
          <cell r="H23">
            <v>8025469</v>
          </cell>
          <cell r="I23">
            <v>6262627</v>
          </cell>
          <cell r="J23">
            <v>7069413</v>
          </cell>
          <cell r="K23">
            <v>9127626</v>
          </cell>
          <cell r="L23">
            <v>6449514</v>
          </cell>
          <cell r="M23">
            <v>6845353</v>
          </cell>
          <cell r="N23">
            <v>6414409</v>
          </cell>
          <cell r="O23">
            <v>6655887</v>
          </cell>
          <cell r="P23">
            <v>4985468</v>
          </cell>
          <cell r="Q23">
            <v>8135388</v>
          </cell>
          <cell r="R23">
            <v>9684658</v>
          </cell>
          <cell r="S23">
            <v>2511731</v>
          </cell>
          <cell r="T23">
            <v>625207</v>
          </cell>
          <cell r="U23">
            <v>1496150</v>
          </cell>
          <cell r="V23">
            <v>1022636</v>
          </cell>
          <cell r="W23">
            <v>1106983</v>
          </cell>
          <cell r="X23">
            <v>692220</v>
          </cell>
          <cell r="Y23">
            <v>514874</v>
          </cell>
        </row>
        <row r="24">
          <cell r="A24" t="str">
            <v>Asia - South</v>
          </cell>
          <cell r="B24">
            <v>600770</v>
          </cell>
          <cell r="C24">
            <v>1015251</v>
          </cell>
          <cell r="D24">
            <v>552694</v>
          </cell>
          <cell r="E24">
            <v>1104858</v>
          </cell>
          <cell r="F24">
            <v>793771</v>
          </cell>
          <cell r="G24">
            <v>2090517</v>
          </cell>
          <cell r="H24">
            <v>1318578</v>
          </cell>
          <cell r="I24">
            <v>1810652</v>
          </cell>
          <cell r="J24">
            <v>886366</v>
          </cell>
          <cell r="K24">
            <v>889776</v>
          </cell>
          <cell r="L24">
            <v>2279964</v>
          </cell>
          <cell r="M24">
            <v>2292194</v>
          </cell>
          <cell r="N24">
            <v>2405508</v>
          </cell>
          <cell r="O24">
            <v>3736785</v>
          </cell>
          <cell r="P24">
            <v>3305875</v>
          </cell>
          <cell r="Q24">
            <v>6473156</v>
          </cell>
          <cell r="R24">
            <v>4871267</v>
          </cell>
          <cell r="S24">
            <v>6020597</v>
          </cell>
          <cell r="T24">
            <v>6269076</v>
          </cell>
          <cell r="U24">
            <v>12437358</v>
          </cell>
          <cell r="V24">
            <v>13189537</v>
          </cell>
          <cell r="W24">
            <v>7912475</v>
          </cell>
          <cell r="X24">
            <v>9312502</v>
          </cell>
          <cell r="Y24">
            <v>10049028</v>
          </cell>
        </row>
        <row r="25">
          <cell r="A25" t="str">
            <v>India</v>
          </cell>
          <cell r="B25">
            <v>600770</v>
          </cell>
          <cell r="C25">
            <v>940951</v>
          </cell>
          <cell r="D25">
            <v>552694</v>
          </cell>
          <cell r="E25">
            <v>1086670</v>
          </cell>
          <cell r="F25">
            <v>793771</v>
          </cell>
          <cell r="G25">
            <v>2005754</v>
          </cell>
          <cell r="H25">
            <v>1297076</v>
          </cell>
          <cell r="I25">
            <v>1514002</v>
          </cell>
          <cell r="J25">
            <v>826218</v>
          </cell>
          <cell r="K25">
            <v>886276</v>
          </cell>
          <cell r="L25">
            <v>2253081</v>
          </cell>
          <cell r="M25">
            <v>2204912</v>
          </cell>
          <cell r="N25">
            <v>2379443</v>
          </cell>
          <cell r="O25">
            <v>3724485</v>
          </cell>
          <cell r="P25">
            <v>3247075</v>
          </cell>
          <cell r="Q25">
            <v>6361975</v>
          </cell>
          <cell r="R25">
            <v>4866467</v>
          </cell>
          <cell r="S25">
            <v>5994629</v>
          </cell>
          <cell r="T25">
            <v>6253106</v>
          </cell>
          <cell r="U25">
            <v>12381843</v>
          </cell>
          <cell r="V25">
            <v>13181144</v>
          </cell>
          <cell r="W25">
            <v>7905049</v>
          </cell>
          <cell r="X25">
            <v>9291666</v>
          </cell>
          <cell r="Y25">
            <v>9978238</v>
          </cell>
        </row>
        <row r="26">
          <cell r="A26" t="str">
            <v>Czech Republic</v>
          </cell>
          <cell r="B26">
            <v>2934870</v>
          </cell>
          <cell r="C26">
            <v>5127787</v>
          </cell>
          <cell r="D26">
            <v>2919663</v>
          </cell>
          <cell r="E26">
            <v>2525178</v>
          </cell>
          <cell r="F26">
            <v>973362</v>
          </cell>
          <cell r="G26">
            <v>1953568</v>
          </cell>
          <cell r="H26">
            <v>1639242</v>
          </cell>
          <cell r="I26">
            <v>707864</v>
          </cell>
          <cell r="J26">
            <v>1164294</v>
          </cell>
          <cell r="K26">
            <v>1752287</v>
          </cell>
          <cell r="L26">
            <v>1401096</v>
          </cell>
          <cell r="M26">
            <v>4341874</v>
          </cell>
          <cell r="N26">
            <v>3025653</v>
          </cell>
          <cell r="O26">
            <v>6287407</v>
          </cell>
          <cell r="P26">
            <v>2141893</v>
          </cell>
          <cell r="Q26">
            <v>3666191</v>
          </cell>
          <cell r="R26">
            <v>7942251</v>
          </cell>
          <cell r="S26">
            <v>2900625</v>
          </cell>
          <cell r="T26">
            <v>3837524</v>
          </cell>
          <cell r="U26">
            <v>4085098</v>
          </cell>
          <cell r="V26">
            <v>3888997</v>
          </cell>
          <cell r="W26">
            <v>5802772</v>
          </cell>
          <cell r="X26">
            <v>4355220</v>
          </cell>
          <cell r="Y26">
            <v>4549025</v>
          </cell>
        </row>
        <row r="27">
          <cell r="A27" t="str">
            <v>Australia and Oceania</v>
          </cell>
          <cell r="B27">
            <v>4651341</v>
          </cell>
          <cell r="C27">
            <v>6614392</v>
          </cell>
          <cell r="D27">
            <v>5901887</v>
          </cell>
          <cell r="E27">
            <v>2634851</v>
          </cell>
          <cell r="F27">
            <v>3726996</v>
          </cell>
          <cell r="G27">
            <v>15044056</v>
          </cell>
          <cell r="H27">
            <v>7132577</v>
          </cell>
          <cell r="I27">
            <v>2528146</v>
          </cell>
          <cell r="J27">
            <v>3142605</v>
          </cell>
          <cell r="K27">
            <v>1555142</v>
          </cell>
          <cell r="L27">
            <v>2123189</v>
          </cell>
          <cell r="M27">
            <v>4486887</v>
          </cell>
          <cell r="N27">
            <v>2769626</v>
          </cell>
          <cell r="O27">
            <v>2016006</v>
          </cell>
          <cell r="P27">
            <v>1283496</v>
          </cell>
          <cell r="Q27">
            <v>3008897</v>
          </cell>
          <cell r="R27">
            <v>2909937</v>
          </cell>
          <cell r="S27">
            <v>1325866</v>
          </cell>
          <cell r="T27">
            <v>130479</v>
          </cell>
          <cell r="U27">
            <v>403868</v>
          </cell>
          <cell r="V27">
            <v>2303673</v>
          </cell>
          <cell r="W27">
            <v>740598</v>
          </cell>
          <cell r="X27">
            <v>1012410</v>
          </cell>
          <cell r="Y27">
            <v>1516408</v>
          </cell>
        </row>
        <row r="28">
          <cell r="A28" t="str">
            <v>Australia</v>
          </cell>
          <cell r="B28">
            <v>4621988</v>
          </cell>
          <cell r="C28">
            <v>6588580</v>
          </cell>
          <cell r="D28">
            <v>5809599</v>
          </cell>
          <cell r="E28">
            <v>2503922</v>
          </cell>
          <cell r="F28">
            <v>3459321</v>
          </cell>
          <cell r="G28">
            <v>14890114</v>
          </cell>
          <cell r="H28">
            <v>7107787</v>
          </cell>
          <cell r="I28">
            <v>2170019</v>
          </cell>
          <cell r="J28">
            <v>3113164</v>
          </cell>
          <cell r="K28">
            <v>882295</v>
          </cell>
          <cell r="L28">
            <v>1538219</v>
          </cell>
          <cell r="M28">
            <v>3550639</v>
          </cell>
          <cell r="N28">
            <v>2747525</v>
          </cell>
          <cell r="O28">
            <v>2006048</v>
          </cell>
          <cell r="P28">
            <v>1194430</v>
          </cell>
          <cell r="Q28">
            <v>2611957</v>
          </cell>
          <cell r="R28">
            <v>2812739</v>
          </cell>
          <cell r="S28">
            <v>1299041</v>
          </cell>
          <cell r="T28">
            <v>65728</v>
          </cell>
          <cell r="U28">
            <v>220432</v>
          </cell>
          <cell r="V28">
            <v>2277467</v>
          </cell>
          <cell r="W28">
            <v>619868</v>
          </cell>
          <cell r="X28">
            <v>994461</v>
          </cell>
          <cell r="Y28">
            <v>1294790</v>
          </cell>
        </row>
        <row r="29">
          <cell r="A29" t="str">
            <v>Thailand</v>
          </cell>
          <cell r="B29">
            <v>23741</v>
          </cell>
          <cell r="C29">
            <v>23892</v>
          </cell>
          <cell r="D29">
            <v>44450</v>
          </cell>
          <cell r="E29">
            <v>229276</v>
          </cell>
          <cell r="F29">
            <v>289449</v>
          </cell>
          <cell r="G29">
            <v>1105121</v>
          </cell>
          <cell r="H29">
            <v>2039583</v>
          </cell>
          <cell r="I29">
            <v>1941970</v>
          </cell>
          <cell r="J29">
            <v>1306070</v>
          </cell>
          <cell r="K29">
            <v>1566511</v>
          </cell>
          <cell r="L29">
            <v>3026856</v>
          </cell>
          <cell r="M29">
            <v>1473287</v>
          </cell>
          <cell r="N29">
            <v>784309</v>
          </cell>
          <cell r="O29">
            <v>1081521</v>
          </cell>
          <cell r="P29">
            <v>675258</v>
          </cell>
          <cell r="Q29">
            <v>3210845</v>
          </cell>
          <cell r="R29">
            <v>1966502</v>
          </cell>
          <cell r="S29">
            <v>2735698</v>
          </cell>
          <cell r="T29">
            <v>4987695</v>
          </cell>
          <cell r="U29">
            <v>4360830</v>
          </cell>
          <cell r="V29">
            <v>7788946</v>
          </cell>
          <cell r="W29">
            <v>10486948</v>
          </cell>
          <cell r="X29">
            <v>10578416</v>
          </cell>
          <cell r="Y29">
            <v>10094082</v>
          </cell>
        </row>
        <row r="30">
          <cell r="A30" t="str">
            <v>Denmark</v>
          </cell>
          <cell r="B30">
            <v>1697464</v>
          </cell>
          <cell r="C30">
            <v>1282824</v>
          </cell>
          <cell r="D30">
            <v>726357</v>
          </cell>
          <cell r="E30">
            <v>554830</v>
          </cell>
          <cell r="F30">
            <v>694747</v>
          </cell>
          <cell r="G30">
            <v>1114009</v>
          </cell>
          <cell r="H30">
            <v>2207917</v>
          </cell>
          <cell r="I30">
            <v>619240</v>
          </cell>
          <cell r="J30">
            <v>902976</v>
          </cell>
          <cell r="K30">
            <v>2994586</v>
          </cell>
          <cell r="L30">
            <v>2453474</v>
          </cell>
          <cell r="M30">
            <v>3767389</v>
          </cell>
          <cell r="N30">
            <v>1647724</v>
          </cell>
          <cell r="O30">
            <v>1853777</v>
          </cell>
          <cell r="P30">
            <v>2474980</v>
          </cell>
          <cell r="Q30">
            <v>2828501</v>
          </cell>
          <cell r="R30">
            <v>4085346</v>
          </cell>
          <cell r="S30">
            <v>7644935</v>
          </cell>
          <cell r="T30">
            <v>7623828</v>
          </cell>
          <cell r="U30">
            <v>5972541</v>
          </cell>
          <cell r="V30">
            <v>4716362</v>
          </cell>
          <cell r="W30">
            <v>3356924</v>
          </cell>
          <cell r="X30">
            <v>2209764</v>
          </cell>
          <cell r="Y30">
            <v>2407950</v>
          </cell>
        </row>
        <row r="31">
          <cell r="A31" t="str">
            <v>South/Central America</v>
          </cell>
          <cell r="B31">
            <v>2199192</v>
          </cell>
          <cell r="C31">
            <v>2423096</v>
          </cell>
          <cell r="D31">
            <v>3091293</v>
          </cell>
          <cell r="E31">
            <v>2075566</v>
          </cell>
          <cell r="F31">
            <v>2269546</v>
          </cell>
          <cell r="G31">
            <v>4583027</v>
          </cell>
          <cell r="H31">
            <v>5207913</v>
          </cell>
          <cell r="I31">
            <v>953424</v>
          </cell>
          <cell r="J31">
            <v>2956915</v>
          </cell>
          <cell r="K31">
            <v>2238215</v>
          </cell>
          <cell r="L31">
            <v>1342106</v>
          </cell>
          <cell r="M31">
            <v>2612614</v>
          </cell>
          <cell r="N31">
            <v>3103331</v>
          </cell>
          <cell r="O31">
            <v>2185690</v>
          </cell>
          <cell r="P31">
            <v>1808646</v>
          </cell>
          <cell r="Q31">
            <v>1781672</v>
          </cell>
          <cell r="R31">
            <v>1615049</v>
          </cell>
          <cell r="S31">
            <v>814881</v>
          </cell>
          <cell r="T31">
            <v>1183254</v>
          </cell>
          <cell r="U31">
            <v>1770495</v>
          </cell>
          <cell r="V31">
            <v>4053827</v>
          </cell>
          <cell r="W31">
            <v>5901204</v>
          </cell>
          <cell r="X31">
            <v>3896412</v>
          </cell>
          <cell r="Y31">
            <v>2608798</v>
          </cell>
        </row>
        <row r="32">
          <cell r="A32" t="str">
            <v>Belgium</v>
          </cell>
          <cell r="B32">
            <v>3031115</v>
          </cell>
          <cell r="C32">
            <v>1811032</v>
          </cell>
          <cell r="D32">
            <v>1207109</v>
          </cell>
          <cell r="E32">
            <v>2473205</v>
          </cell>
          <cell r="F32">
            <v>1703298</v>
          </cell>
          <cell r="G32">
            <v>4955439</v>
          </cell>
          <cell r="H32">
            <v>2671201</v>
          </cell>
          <cell r="I32">
            <v>2346853</v>
          </cell>
          <cell r="J32">
            <v>1286139</v>
          </cell>
          <cell r="K32">
            <v>3675549</v>
          </cell>
          <cell r="L32">
            <v>4734140</v>
          </cell>
          <cell r="M32">
            <v>2720758</v>
          </cell>
          <cell r="N32">
            <v>1521038</v>
          </cell>
          <cell r="O32">
            <v>578605</v>
          </cell>
          <cell r="P32">
            <v>610736</v>
          </cell>
          <cell r="Q32">
            <v>1708172</v>
          </cell>
          <cell r="R32">
            <v>3713877</v>
          </cell>
          <cell r="S32">
            <v>3212682</v>
          </cell>
          <cell r="T32">
            <v>1464549</v>
          </cell>
          <cell r="U32">
            <v>1777457</v>
          </cell>
          <cell r="V32">
            <v>1785996</v>
          </cell>
          <cell r="W32">
            <v>5688892</v>
          </cell>
          <cell r="X32">
            <v>3420079</v>
          </cell>
          <cell r="Y32">
            <v>1831415</v>
          </cell>
        </row>
        <row r="33">
          <cell r="A33" t="str">
            <v>Malaysia</v>
          </cell>
          <cell r="B33">
            <v>1834024</v>
          </cell>
          <cell r="C33">
            <v>1755303</v>
          </cell>
          <cell r="D33">
            <v>1846766</v>
          </cell>
          <cell r="E33">
            <v>1347184</v>
          </cell>
          <cell r="F33">
            <v>2343509</v>
          </cell>
          <cell r="G33">
            <v>1641476</v>
          </cell>
          <cell r="H33">
            <v>2025408</v>
          </cell>
          <cell r="I33">
            <v>974892</v>
          </cell>
          <cell r="J33">
            <v>2057312</v>
          </cell>
          <cell r="K33">
            <v>1702532</v>
          </cell>
          <cell r="L33">
            <v>2496249</v>
          </cell>
          <cell r="M33">
            <v>1276945</v>
          </cell>
          <cell r="N33">
            <v>2047092</v>
          </cell>
          <cell r="O33">
            <v>2292125</v>
          </cell>
          <cell r="P33">
            <v>2263526</v>
          </cell>
          <cell r="Q33">
            <v>2045501</v>
          </cell>
          <cell r="R33">
            <v>1140402</v>
          </cell>
          <cell r="S33">
            <v>1816921</v>
          </cell>
          <cell r="T33">
            <v>1228837</v>
          </cell>
          <cell r="U33">
            <v>1973259</v>
          </cell>
          <cell r="V33">
            <v>3458015</v>
          </cell>
          <cell r="W33">
            <v>4590864</v>
          </cell>
          <cell r="X33">
            <v>3645241</v>
          </cell>
          <cell r="Y33">
            <v>5277718</v>
          </cell>
        </row>
        <row r="34">
          <cell r="A34" t="str">
            <v>South America</v>
          </cell>
          <cell r="B34">
            <v>2154984</v>
          </cell>
          <cell r="C34">
            <v>2255597</v>
          </cell>
          <cell r="D34">
            <v>3047503</v>
          </cell>
          <cell r="E34">
            <v>1730443</v>
          </cell>
          <cell r="F34">
            <v>1979945</v>
          </cell>
          <cell r="G34">
            <v>3497830</v>
          </cell>
          <cell r="H34">
            <v>4562413</v>
          </cell>
          <cell r="I34">
            <v>508288</v>
          </cell>
          <cell r="J34">
            <v>2616505</v>
          </cell>
          <cell r="K34">
            <v>1816273</v>
          </cell>
          <cell r="L34">
            <v>896118</v>
          </cell>
          <cell r="M34">
            <v>2101772</v>
          </cell>
          <cell r="N34">
            <v>1345285</v>
          </cell>
          <cell r="O34">
            <v>1969622</v>
          </cell>
          <cell r="P34">
            <v>1579132</v>
          </cell>
          <cell r="Q34">
            <v>1228831</v>
          </cell>
          <cell r="R34">
            <v>1284189</v>
          </cell>
          <cell r="S34">
            <v>464655</v>
          </cell>
          <cell r="T34">
            <v>635803</v>
          </cell>
          <cell r="U34">
            <v>1646200</v>
          </cell>
          <cell r="V34">
            <v>3287550</v>
          </cell>
          <cell r="W34">
            <v>4277768</v>
          </cell>
          <cell r="X34">
            <v>2221890</v>
          </cell>
          <cell r="Y34">
            <v>1682248</v>
          </cell>
        </row>
        <row r="35">
          <cell r="A35" t="str">
            <v>Brazil</v>
          </cell>
          <cell r="B35">
            <v>1966635</v>
          </cell>
          <cell r="C35">
            <v>1729158</v>
          </cell>
          <cell r="D35">
            <v>2861532</v>
          </cell>
          <cell r="E35">
            <v>1306002</v>
          </cell>
          <cell r="F35">
            <v>1913778</v>
          </cell>
          <cell r="G35">
            <v>3072643</v>
          </cell>
          <cell r="H35">
            <v>2336737</v>
          </cell>
          <cell r="I35">
            <v>372787</v>
          </cell>
          <cell r="J35">
            <v>2005085</v>
          </cell>
          <cell r="K35">
            <v>1673210</v>
          </cell>
          <cell r="L35">
            <v>866118</v>
          </cell>
          <cell r="M35">
            <v>2034425</v>
          </cell>
          <cell r="N35">
            <v>1055486</v>
          </cell>
          <cell r="O35">
            <v>1921861</v>
          </cell>
          <cell r="P35">
            <v>1365651</v>
          </cell>
          <cell r="Q35">
            <v>1086647</v>
          </cell>
          <cell r="R35">
            <v>508806</v>
          </cell>
          <cell r="S35">
            <v>441250</v>
          </cell>
          <cell r="T35">
            <v>574523</v>
          </cell>
          <cell r="U35">
            <v>1236764</v>
          </cell>
          <cell r="V35">
            <v>3203908</v>
          </cell>
          <cell r="W35">
            <v>4078657</v>
          </cell>
          <cell r="X35">
            <v>1607977</v>
          </cell>
          <cell r="Y35">
            <v>1582440</v>
          </cell>
        </row>
        <row r="36">
          <cell r="A36" t="str">
            <v>Luxembourg</v>
          </cell>
          <cell r="B36">
            <v>1602181</v>
          </cell>
          <cell r="C36">
            <v>2639281</v>
          </cell>
          <cell r="D36">
            <v>2217928</v>
          </cell>
          <cell r="E36">
            <v>616723</v>
          </cell>
          <cell r="F36">
            <v>2885075</v>
          </cell>
          <cell r="G36">
            <v>1164596</v>
          </cell>
          <cell r="H36">
            <v>2135382</v>
          </cell>
          <cell r="I36">
            <v>1137562</v>
          </cell>
          <cell r="J36">
            <v>1097246</v>
          </cell>
          <cell r="K36">
            <v>786706</v>
          </cell>
          <cell r="L36">
            <v>1014504</v>
          </cell>
          <cell r="M36">
            <v>233793</v>
          </cell>
          <cell r="O36">
            <v>921655</v>
          </cell>
          <cell r="P36">
            <v>440718</v>
          </cell>
          <cell r="Q36">
            <v>2571030</v>
          </cell>
          <cell r="R36">
            <v>750981</v>
          </cell>
          <cell r="S36">
            <v>53290</v>
          </cell>
          <cell r="T36">
            <v>3797515</v>
          </cell>
          <cell r="U36">
            <v>1770329</v>
          </cell>
          <cell r="V36">
            <v>1611630</v>
          </cell>
          <cell r="W36">
            <v>413619</v>
          </cell>
          <cell r="X36">
            <v>1394499</v>
          </cell>
          <cell r="Y36">
            <v>1895996</v>
          </cell>
        </row>
        <row r="37">
          <cell r="A37" t="str">
            <v>Hungary</v>
          </cell>
          <cell r="B37">
            <v>774351</v>
          </cell>
          <cell r="C37">
            <v>419428</v>
          </cell>
          <cell r="D37">
            <v>1341083</v>
          </cell>
          <cell r="E37">
            <v>1118727</v>
          </cell>
          <cell r="F37">
            <v>1172373</v>
          </cell>
          <cell r="G37">
            <v>1019448</v>
          </cell>
          <cell r="H37">
            <v>1521851</v>
          </cell>
          <cell r="I37">
            <v>448072</v>
          </cell>
          <cell r="J37">
            <v>1831302</v>
          </cell>
          <cell r="K37">
            <v>1318236</v>
          </cell>
          <cell r="L37">
            <v>396362</v>
          </cell>
          <cell r="M37">
            <v>2363391</v>
          </cell>
          <cell r="N37">
            <v>2842092</v>
          </cell>
          <cell r="O37">
            <v>492932</v>
          </cell>
          <cell r="P37">
            <v>546515</v>
          </cell>
          <cell r="Q37">
            <v>727132</v>
          </cell>
          <cell r="R37">
            <v>2030618</v>
          </cell>
          <cell r="S37">
            <v>1528344</v>
          </cell>
          <cell r="T37">
            <v>1652016</v>
          </cell>
          <cell r="U37">
            <v>2086665</v>
          </cell>
          <cell r="V37">
            <v>2569937</v>
          </cell>
          <cell r="W37">
            <v>730195</v>
          </cell>
          <cell r="X37">
            <v>2021588</v>
          </cell>
          <cell r="Y37">
            <v>1013468</v>
          </cell>
        </row>
        <row r="38">
          <cell r="A38" t="str">
            <v>Asia Near East</v>
          </cell>
          <cell r="B38">
            <v>1153385</v>
          </cell>
          <cell r="C38">
            <v>912004</v>
          </cell>
          <cell r="D38">
            <v>1586777</v>
          </cell>
          <cell r="E38">
            <v>1566875</v>
          </cell>
          <cell r="F38">
            <v>264545</v>
          </cell>
          <cell r="G38">
            <v>1822029</v>
          </cell>
          <cell r="H38">
            <v>3871583</v>
          </cell>
          <cell r="I38">
            <v>825704</v>
          </cell>
          <cell r="J38">
            <v>335928</v>
          </cell>
          <cell r="K38">
            <v>171697</v>
          </cell>
          <cell r="L38">
            <v>717341</v>
          </cell>
          <cell r="M38">
            <v>1481637</v>
          </cell>
          <cell r="N38">
            <v>363131</v>
          </cell>
          <cell r="O38">
            <v>631370</v>
          </cell>
          <cell r="P38">
            <v>84900</v>
          </cell>
          <cell r="Q38">
            <v>1026766</v>
          </cell>
          <cell r="R38">
            <v>1776516</v>
          </cell>
          <cell r="S38">
            <v>557503</v>
          </cell>
          <cell r="T38">
            <v>87299</v>
          </cell>
          <cell r="U38">
            <v>1263813</v>
          </cell>
          <cell r="V38">
            <v>433250</v>
          </cell>
          <cell r="W38">
            <v>893543</v>
          </cell>
          <cell r="X38">
            <v>873736</v>
          </cell>
          <cell r="Y38">
            <v>1179479</v>
          </cell>
        </row>
        <row r="39">
          <cell r="A39" t="str">
            <v>Sweden</v>
          </cell>
          <cell r="B39">
            <v>914185</v>
          </cell>
          <cell r="C39">
            <v>2088801</v>
          </cell>
          <cell r="D39">
            <v>4307338</v>
          </cell>
          <cell r="E39">
            <v>3007892</v>
          </cell>
          <cell r="F39">
            <v>861320</v>
          </cell>
          <cell r="G39">
            <v>1013964</v>
          </cell>
          <cell r="H39">
            <v>758037</v>
          </cell>
          <cell r="I39">
            <v>183088</v>
          </cell>
          <cell r="J39">
            <v>817970</v>
          </cell>
          <cell r="K39">
            <v>235738</v>
          </cell>
          <cell r="L39">
            <v>17387</v>
          </cell>
          <cell r="M39">
            <v>1547110</v>
          </cell>
          <cell r="N39">
            <v>175521</v>
          </cell>
          <cell r="O39">
            <v>120139</v>
          </cell>
          <cell r="P39">
            <v>514866</v>
          </cell>
          <cell r="Q39">
            <v>13003</v>
          </cell>
          <cell r="R39">
            <v>469429</v>
          </cell>
          <cell r="S39">
            <v>123484</v>
          </cell>
          <cell r="T39">
            <v>84840</v>
          </cell>
          <cell r="U39">
            <v>148133</v>
          </cell>
          <cell r="V39">
            <v>77729</v>
          </cell>
          <cell r="W39">
            <v>1462812</v>
          </cell>
          <cell r="X39">
            <v>2143800</v>
          </cell>
          <cell r="Y39">
            <v>1784105</v>
          </cell>
        </row>
        <row r="40">
          <cell r="A40" t="str">
            <v>Israel</v>
          </cell>
          <cell r="B40">
            <v>1153385</v>
          </cell>
          <cell r="C40">
            <v>714693</v>
          </cell>
          <cell r="D40">
            <v>1543277</v>
          </cell>
          <cell r="E40">
            <v>1538875</v>
          </cell>
          <cell r="F40">
            <v>264545</v>
          </cell>
          <cell r="G40">
            <v>1562366</v>
          </cell>
          <cell r="H40">
            <v>3612083</v>
          </cell>
          <cell r="I40">
            <v>719704</v>
          </cell>
          <cell r="J40">
            <v>242221</v>
          </cell>
          <cell r="K40">
            <v>171697</v>
          </cell>
          <cell r="L40">
            <v>707341</v>
          </cell>
          <cell r="M40">
            <v>1468294</v>
          </cell>
          <cell r="N40">
            <v>363131</v>
          </cell>
          <cell r="O40">
            <v>625317</v>
          </cell>
          <cell r="P40">
            <v>84900</v>
          </cell>
          <cell r="Q40">
            <v>1026766</v>
          </cell>
          <cell r="R40">
            <v>1776516</v>
          </cell>
          <cell r="S40">
            <v>329003</v>
          </cell>
          <cell r="T40">
            <v>81785</v>
          </cell>
          <cell r="U40">
            <v>1255296</v>
          </cell>
          <cell r="V40">
            <v>433250</v>
          </cell>
          <cell r="W40">
            <v>893543</v>
          </cell>
          <cell r="X40">
            <v>873736</v>
          </cell>
          <cell r="Y40">
            <v>1149479</v>
          </cell>
        </row>
        <row r="41">
          <cell r="A41" t="str">
            <v>Vietnam</v>
          </cell>
          <cell r="C41">
            <v>2250</v>
          </cell>
          <cell r="E41">
            <v>14850</v>
          </cell>
          <cell r="F41">
            <v>9500</v>
          </cell>
          <cell r="G41">
            <v>20500</v>
          </cell>
          <cell r="H41">
            <v>101550</v>
          </cell>
          <cell r="I41">
            <v>4927</v>
          </cell>
          <cell r="K41">
            <v>33000</v>
          </cell>
          <cell r="M41">
            <v>118563</v>
          </cell>
          <cell r="N41">
            <v>9132</v>
          </cell>
          <cell r="O41">
            <v>236695</v>
          </cell>
          <cell r="P41">
            <v>313165</v>
          </cell>
          <cell r="Q41">
            <v>363925</v>
          </cell>
          <cell r="R41">
            <v>480795</v>
          </cell>
          <cell r="S41">
            <v>1596860</v>
          </cell>
          <cell r="T41">
            <v>2311418</v>
          </cell>
          <cell r="U41">
            <v>1996523</v>
          </cell>
          <cell r="V41">
            <v>742910</v>
          </cell>
          <cell r="W41">
            <v>2088950</v>
          </cell>
          <cell r="X41">
            <v>2503509</v>
          </cell>
          <cell r="Y41">
            <v>3726899</v>
          </cell>
        </row>
        <row r="42">
          <cell r="A42" t="str">
            <v>Finland</v>
          </cell>
          <cell r="B42">
            <v>695325</v>
          </cell>
          <cell r="C42">
            <v>671555</v>
          </cell>
          <cell r="D42">
            <v>1712827</v>
          </cell>
          <cell r="E42">
            <v>2259306</v>
          </cell>
          <cell r="F42">
            <v>85603</v>
          </cell>
          <cell r="H42">
            <v>35118</v>
          </cell>
          <cell r="J42">
            <v>6800</v>
          </cell>
          <cell r="K42">
            <v>80000</v>
          </cell>
          <cell r="L42">
            <v>109988</v>
          </cell>
          <cell r="M42">
            <v>257796</v>
          </cell>
          <cell r="N42">
            <v>23275</v>
          </cell>
          <cell r="P42">
            <v>11808</v>
          </cell>
          <cell r="Q42">
            <v>1033976</v>
          </cell>
          <cell r="S42">
            <v>1211327</v>
          </cell>
          <cell r="T42">
            <v>537828</v>
          </cell>
          <cell r="U42">
            <v>3463659</v>
          </cell>
          <cell r="V42">
            <v>1081615</v>
          </cell>
          <cell r="W42">
            <v>2605385</v>
          </cell>
          <cell r="X42">
            <v>316482</v>
          </cell>
          <cell r="Y42">
            <v>437867</v>
          </cell>
        </row>
        <row r="43">
          <cell r="A43" t="str">
            <v>Ireland</v>
          </cell>
          <cell r="B43">
            <v>423289</v>
          </cell>
          <cell r="C43">
            <v>774053</v>
          </cell>
          <cell r="D43">
            <v>351420</v>
          </cell>
          <cell r="E43">
            <v>856436</v>
          </cell>
          <cell r="F43">
            <v>188865</v>
          </cell>
          <cell r="G43">
            <v>295019</v>
          </cell>
          <cell r="H43">
            <v>92931</v>
          </cell>
          <cell r="I43">
            <v>451448</v>
          </cell>
          <cell r="J43">
            <v>125850</v>
          </cell>
          <cell r="K43">
            <v>581084</v>
          </cell>
          <cell r="L43">
            <v>196600</v>
          </cell>
          <cell r="M43">
            <v>896451</v>
          </cell>
          <cell r="N43">
            <v>577799</v>
          </cell>
          <cell r="O43">
            <v>61158</v>
          </cell>
          <cell r="P43">
            <v>175726</v>
          </cell>
          <cell r="Q43">
            <v>255860</v>
          </cell>
          <cell r="R43">
            <v>552028</v>
          </cell>
          <cell r="S43">
            <v>1034274</v>
          </cell>
          <cell r="T43">
            <v>1921778</v>
          </cell>
          <cell r="U43">
            <v>761969</v>
          </cell>
          <cell r="V43">
            <v>1736841</v>
          </cell>
          <cell r="W43">
            <v>3011420</v>
          </cell>
          <cell r="X43">
            <v>650452</v>
          </cell>
          <cell r="Y43">
            <v>322534</v>
          </cell>
        </row>
        <row r="44">
          <cell r="A44" t="str">
            <v>Turkey</v>
          </cell>
          <cell r="E44">
            <v>25605</v>
          </cell>
          <cell r="F44">
            <v>12000</v>
          </cell>
          <cell r="G44">
            <v>759230</v>
          </cell>
          <cell r="H44">
            <v>1975854</v>
          </cell>
          <cell r="I44">
            <v>1404268</v>
          </cell>
          <cell r="J44">
            <v>4106</v>
          </cell>
          <cell r="K44">
            <v>518905</v>
          </cell>
          <cell r="L44">
            <v>641076</v>
          </cell>
          <cell r="M44">
            <v>1038213</v>
          </cell>
          <cell r="N44">
            <v>1198766</v>
          </cell>
          <cell r="O44">
            <v>612425</v>
          </cell>
          <cell r="P44">
            <v>175296</v>
          </cell>
          <cell r="Q44">
            <v>40460</v>
          </cell>
          <cell r="R44">
            <v>138830</v>
          </cell>
          <cell r="S44">
            <v>445945</v>
          </cell>
          <cell r="T44">
            <v>248087</v>
          </cell>
          <cell r="U44">
            <v>362674</v>
          </cell>
          <cell r="V44">
            <v>783896</v>
          </cell>
          <cell r="W44">
            <v>1079991</v>
          </cell>
          <cell r="X44">
            <v>1679456</v>
          </cell>
          <cell r="Y44">
            <v>1506720</v>
          </cell>
        </row>
        <row r="45">
          <cell r="A45" t="str">
            <v>Central America and Caribbean</v>
          </cell>
          <cell r="B45">
            <v>44208</v>
          </cell>
          <cell r="C45">
            <v>167499</v>
          </cell>
          <cell r="D45">
            <v>43790</v>
          </cell>
          <cell r="E45">
            <v>345123</v>
          </cell>
          <cell r="F45">
            <v>289601</v>
          </cell>
          <cell r="G45">
            <v>1085197</v>
          </cell>
          <cell r="H45">
            <v>645500</v>
          </cell>
          <cell r="I45">
            <v>445136</v>
          </cell>
          <cell r="J45">
            <v>340410</v>
          </cell>
          <cell r="K45">
            <v>421942</v>
          </cell>
          <cell r="L45">
            <v>445988</v>
          </cell>
          <cell r="M45">
            <v>510842</v>
          </cell>
          <cell r="N45">
            <v>1758046</v>
          </cell>
          <cell r="O45">
            <v>216068</v>
          </cell>
          <cell r="P45">
            <v>229514</v>
          </cell>
          <cell r="Q45">
            <v>552841</v>
          </cell>
          <cell r="R45">
            <v>330860</v>
          </cell>
          <cell r="S45">
            <v>350226</v>
          </cell>
          <cell r="T45">
            <v>547451</v>
          </cell>
          <cell r="U45">
            <v>124295</v>
          </cell>
          <cell r="V45">
            <v>766277</v>
          </cell>
          <cell r="W45">
            <v>1623436</v>
          </cell>
          <cell r="X45">
            <v>1674522</v>
          </cell>
          <cell r="Y45">
            <v>926550</v>
          </cell>
        </row>
        <row r="46">
          <cell r="A46" t="str">
            <v>Slovakia</v>
          </cell>
          <cell r="B46">
            <v>355966</v>
          </cell>
          <cell r="C46">
            <v>646352</v>
          </cell>
          <cell r="D46">
            <v>903326</v>
          </cell>
          <cell r="E46">
            <v>398116</v>
          </cell>
          <cell r="F46">
            <v>803216</v>
          </cell>
          <cell r="G46">
            <v>391211</v>
          </cell>
          <cell r="H46">
            <v>383346</v>
          </cell>
          <cell r="I46">
            <v>394400</v>
          </cell>
          <cell r="J46">
            <v>1079402</v>
          </cell>
          <cell r="K46">
            <v>125594</v>
          </cell>
          <cell r="L46">
            <v>116298</v>
          </cell>
          <cell r="M46">
            <v>109611</v>
          </cell>
          <cell r="N46">
            <v>555627</v>
          </cell>
          <cell r="O46">
            <v>817817</v>
          </cell>
          <cell r="P46">
            <v>646449</v>
          </cell>
          <cell r="Q46">
            <v>412455</v>
          </cell>
          <cell r="R46">
            <v>1045154</v>
          </cell>
          <cell r="S46">
            <v>887537</v>
          </cell>
          <cell r="T46">
            <v>240265</v>
          </cell>
          <cell r="U46">
            <v>73965</v>
          </cell>
          <cell r="V46">
            <v>358076</v>
          </cell>
          <cell r="W46">
            <v>48034</v>
          </cell>
          <cell r="X46">
            <v>498820</v>
          </cell>
          <cell r="Y46">
            <v>135949</v>
          </cell>
        </row>
        <row r="47">
          <cell r="A47" t="str">
            <v>Poland</v>
          </cell>
          <cell r="B47">
            <v>294149</v>
          </cell>
          <cell r="C47">
            <v>472916</v>
          </cell>
          <cell r="D47">
            <v>393437</v>
          </cell>
          <cell r="E47">
            <v>235325</v>
          </cell>
          <cell r="F47">
            <v>718924</v>
          </cell>
          <cell r="G47">
            <v>729734</v>
          </cell>
          <cell r="H47">
            <v>435970</v>
          </cell>
          <cell r="I47">
            <v>53035</v>
          </cell>
          <cell r="J47">
            <v>481312</v>
          </cell>
          <cell r="K47">
            <v>198950</v>
          </cell>
          <cell r="L47">
            <v>277362</v>
          </cell>
          <cell r="M47">
            <v>245379</v>
          </cell>
          <cell r="N47">
            <v>313915</v>
          </cell>
          <cell r="O47">
            <v>64965</v>
          </cell>
          <cell r="P47">
            <v>305238</v>
          </cell>
          <cell r="Q47">
            <v>28981</v>
          </cell>
          <cell r="R47">
            <v>638490</v>
          </cell>
          <cell r="S47">
            <v>707421</v>
          </cell>
          <cell r="T47">
            <v>377049</v>
          </cell>
          <cell r="U47">
            <v>87338</v>
          </cell>
          <cell r="V47">
            <v>1503380</v>
          </cell>
          <cell r="W47">
            <v>1623468</v>
          </cell>
          <cell r="X47">
            <v>89620</v>
          </cell>
          <cell r="Y47">
            <v>59570</v>
          </cell>
        </row>
        <row r="48">
          <cell r="A48" t="str">
            <v>Slovenia</v>
          </cell>
          <cell r="B48">
            <v>10123</v>
          </cell>
          <cell r="D48">
            <v>8000</v>
          </cell>
          <cell r="E48">
            <v>32764</v>
          </cell>
          <cell r="F48">
            <v>56722</v>
          </cell>
          <cell r="G48">
            <v>10099</v>
          </cell>
          <cell r="H48">
            <v>100347</v>
          </cell>
          <cell r="I48">
            <v>17337</v>
          </cell>
          <cell r="J48">
            <v>11144</v>
          </cell>
          <cell r="K48">
            <v>122648</v>
          </cell>
          <cell r="L48">
            <v>92015</v>
          </cell>
          <cell r="M48">
            <v>13366</v>
          </cell>
          <cell r="N48">
            <v>215084</v>
          </cell>
          <cell r="O48">
            <v>117111</v>
          </cell>
          <cell r="P48">
            <v>8270</v>
          </cell>
          <cell r="Q48">
            <v>388701</v>
          </cell>
          <cell r="R48">
            <v>152718</v>
          </cell>
          <cell r="S48">
            <v>274307</v>
          </cell>
          <cell r="T48">
            <v>439581</v>
          </cell>
          <cell r="U48">
            <v>992619</v>
          </cell>
          <cell r="V48">
            <v>689728</v>
          </cell>
          <cell r="W48">
            <v>2023959</v>
          </cell>
          <cell r="X48">
            <v>714093</v>
          </cell>
          <cell r="Y48">
            <v>1131079</v>
          </cell>
        </row>
        <row r="49">
          <cell r="A49" t="str">
            <v>Costa Rica</v>
          </cell>
          <cell r="B49">
            <v>14500</v>
          </cell>
          <cell r="C49">
            <v>128595</v>
          </cell>
          <cell r="D49">
            <v>29400</v>
          </cell>
          <cell r="E49">
            <v>240702</v>
          </cell>
          <cell r="F49">
            <v>192101</v>
          </cell>
          <cell r="G49">
            <v>1042197</v>
          </cell>
          <cell r="H49">
            <v>634210</v>
          </cell>
          <cell r="I49">
            <v>320010</v>
          </cell>
          <cell r="J49">
            <v>168300</v>
          </cell>
          <cell r="K49">
            <v>327927</v>
          </cell>
          <cell r="L49">
            <v>353550</v>
          </cell>
          <cell r="M49">
            <v>454742</v>
          </cell>
          <cell r="N49">
            <v>121154</v>
          </cell>
          <cell r="O49">
            <v>180532</v>
          </cell>
          <cell r="P49">
            <v>206917</v>
          </cell>
          <cell r="Q49">
            <v>231963</v>
          </cell>
          <cell r="R49">
            <v>209550</v>
          </cell>
          <cell r="S49">
            <v>40000</v>
          </cell>
          <cell r="T49">
            <v>255191</v>
          </cell>
          <cell r="U49">
            <v>108295</v>
          </cell>
          <cell r="V49">
            <v>276719</v>
          </cell>
          <cell r="W49">
            <v>960706</v>
          </cell>
          <cell r="X49">
            <v>789760</v>
          </cell>
          <cell r="Y49">
            <v>267043</v>
          </cell>
        </row>
        <row r="50">
          <cell r="A50" t="str">
            <v>Belarus</v>
          </cell>
          <cell r="B50">
            <v>82800</v>
          </cell>
          <cell r="C50">
            <v>252658</v>
          </cell>
          <cell r="D50">
            <v>289735</v>
          </cell>
          <cell r="E50">
            <v>86800</v>
          </cell>
          <cell r="F50">
            <v>185440</v>
          </cell>
          <cell r="G50">
            <v>241500</v>
          </cell>
          <cell r="H50">
            <v>202200</v>
          </cell>
          <cell r="I50">
            <v>148496</v>
          </cell>
          <cell r="J50">
            <v>220066</v>
          </cell>
          <cell r="K50">
            <v>459839</v>
          </cell>
          <cell r="L50">
            <v>127500</v>
          </cell>
          <cell r="M50">
            <v>657426</v>
          </cell>
          <cell r="N50">
            <v>565961</v>
          </cell>
          <cell r="P50">
            <v>651604</v>
          </cell>
          <cell r="Q50">
            <v>979150</v>
          </cell>
          <cell r="R50">
            <v>734480</v>
          </cell>
          <cell r="S50">
            <v>196645</v>
          </cell>
          <cell r="T50">
            <v>134130</v>
          </cell>
          <cell r="U50">
            <v>6220</v>
          </cell>
          <cell r="V50">
            <v>321540</v>
          </cell>
        </row>
        <row r="51">
          <cell r="A51" t="str">
            <v>Ukraine</v>
          </cell>
          <cell r="D51">
            <v>145400</v>
          </cell>
          <cell r="E51">
            <v>182100</v>
          </cell>
          <cell r="G51">
            <v>246610</v>
          </cell>
          <cell r="I51">
            <v>268005</v>
          </cell>
          <cell r="J51">
            <v>366621</v>
          </cell>
          <cell r="K51">
            <v>324785</v>
          </cell>
          <cell r="L51">
            <v>482100</v>
          </cell>
          <cell r="M51">
            <v>158650</v>
          </cell>
          <cell r="N51">
            <v>509766</v>
          </cell>
          <cell r="O51">
            <v>486186</v>
          </cell>
          <cell r="P51">
            <v>273555</v>
          </cell>
          <cell r="Q51">
            <v>420993</v>
          </cell>
          <cell r="R51">
            <v>113225</v>
          </cell>
          <cell r="S51">
            <v>399990</v>
          </cell>
          <cell r="T51">
            <v>95000</v>
          </cell>
          <cell r="U51">
            <v>28863</v>
          </cell>
          <cell r="V51">
            <v>183000</v>
          </cell>
          <cell r="W51">
            <v>434335</v>
          </cell>
          <cell r="X51">
            <v>66300</v>
          </cell>
          <cell r="Y51">
            <v>641300</v>
          </cell>
        </row>
        <row r="52">
          <cell r="A52" t="str">
            <v>Dominican Republic</v>
          </cell>
          <cell r="B52">
            <v>29708</v>
          </cell>
          <cell r="C52">
            <v>7904</v>
          </cell>
          <cell r="E52">
            <v>40000</v>
          </cell>
          <cell r="F52">
            <v>55000</v>
          </cell>
          <cell r="G52">
            <v>43000</v>
          </cell>
          <cell r="I52">
            <v>12000</v>
          </cell>
          <cell r="K52">
            <v>76515</v>
          </cell>
          <cell r="M52">
            <v>9600</v>
          </cell>
          <cell r="N52">
            <v>1549892</v>
          </cell>
          <cell r="Q52">
            <v>243126</v>
          </cell>
          <cell r="R52">
            <v>117560</v>
          </cell>
          <cell r="S52">
            <v>310226</v>
          </cell>
          <cell r="T52">
            <v>292260</v>
          </cell>
          <cell r="V52">
            <v>448758</v>
          </cell>
          <cell r="W52">
            <v>662730</v>
          </cell>
          <cell r="X52">
            <v>859762</v>
          </cell>
          <cell r="Y52">
            <v>659507</v>
          </cell>
        </row>
        <row r="53">
          <cell r="A53" t="str">
            <v>New Zealand</v>
          </cell>
          <cell r="B53">
            <v>29353</v>
          </cell>
          <cell r="C53">
            <v>25812</v>
          </cell>
          <cell r="D53">
            <v>92288</v>
          </cell>
          <cell r="E53">
            <v>130929</v>
          </cell>
          <cell r="F53">
            <v>267675</v>
          </cell>
          <cell r="G53">
            <v>153942</v>
          </cell>
          <cell r="H53">
            <v>18988</v>
          </cell>
          <cell r="I53">
            <v>358127</v>
          </cell>
          <cell r="J53">
            <v>29441</v>
          </cell>
          <cell r="K53">
            <v>654502</v>
          </cell>
          <cell r="L53">
            <v>584970</v>
          </cell>
          <cell r="M53">
            <v>905456</v>
          </cell>
          <cell r="N53">
            <v>22101</v>
          </cell>
          <cell r="O53">
            <v>9958</v>
          </cell>
          <cell r="P53">
            <v>89066</v>
          </cell>
          <cell r="Q53">
            <v>396940</v>
          </cell>
          <cell r="R53">
            <v>97198</v>
          </cell>
          <cell r="S53">
            <v>26825</v>
          </cell>
          <cell r="T53">
            <v>64751</v>
          </cell>
          <cell r="U53">
            <v>162546</v>
          </cell>
          <cell r="V53">
            <v>26206</v>
          </cell>
          <cell r="W53">
            <v>120730</v>
          </cell>
          <cell r="X53">
            <v>17949</v>
          </cell>
          <cell r="Y53">
            <v>221618</v>
          </cell>
        </row>
        <row r="54">
          <cell r="A54" t="str">
            <v>Romania</v>
          </cell>
          <cell r="B54">
            <v>112978</v>
          </cell>
          <cell r="E54">
            <v>51690</v>
          </cell>
          <cell r="F54">
            <v>119420</v>
          </cell>
          <cell r="G54">
            <v>330904</v>
          </cell>
          <cell r="H54">
            <v>73278</v>
          </cell>
          <cell r="I54">
            <v>137076</v>
          </cell>
          <cell r="J54">
            <v>228700</v>
          </cell>
          <cell r="K54">
            <v>282903</v>
          </cell>
          <cell r="L54">
            <v>208478</v>
          </cell>
          <cell r="M54">
            <v>93880</v>
          </cell>
          <cell r="N54">
            <v>41438</v>
          </cell>
          <cell r="O54">
            <v>87283</v>
          </cell>
          <cell r="P54">
            <v>228905</v>
          </cell>
          <cell r="Q54">
            <v>137072</v>
          </cell>
          <cell r="R54">
            <v>171713</v>
          </cell>
          <cell r="S54">
            <v>168870</v>
          </cell>
          <cell r="T54">
            <v>8435</v>
          </cell>
          <cell r="U54">
            <v>537166</v>
          </cell>
          <cell r="V54">
            <v>220575</v>
          </cell>
          <cell r="W54">
            <v>243551</v>
          </cell>
          <cell r="X54">
            <v>127249</v>
          </cell>
          <cell r="Y54">
            <v>30688</v>
          </cell>
        </row>
        <row r="55">
          <cell r="A55" t="str">
            <v>Estonia</v>
          </cell>
          <cell r="B55">
            <v>180300</v>
          </cell>
          <cell r="C55">
            <v>131810</v>
          </cell>
          <cell r="D55">
            <v>117850</v>
          </cell>
          <cell r="E55">
            <v>233700</v>
          </cell>
          <cell r="F55">
            <v>184100</v>
          </cell>
          <cell r="G55">
            <v>214540</v>
          </cell>
          <cell r="I55">
            <v>59700</v>
          </cell>
          <cell r="K55">
            <v>66000</v>
          </cell>
          <cell r="L55">
            <v>213400</v>
          </cell>
          <cell r="M55">
            <v>85980</v>
          </cell>
          <cell r="O55">
            <v>94700</v>
          </cell>
          <cell r="P55">
            <v>161000</v>
          </cell>
          <cell r="R55">
            <v>247000</v>
          </cell>
          <cell r="U55">
            <v>602000</v>
          </cell>
          <cell r="W55">
            <v>305000</v>
          </cell>
          <cell r="Y55">
            <v>641015</v>
          </cell>
        </row>
        <row r="56">
          <cell r="A56" t="str">
            <v>Bulgaria</v>
          </cell>
          <cell r="F56">
            <v>9600</v>
          </cell>
          <cell r="H56">
            <v>14961</v>
          </cell>
          <cell r="I56">
            <v>37994</v>
          </cell>
          <cell r="J56">
            <v>185585</v>
          </cell>
          <cell r="K56">
            <v>83983</v>
          </cell>
          <cell r="L56">
            <v>125627</v>
          </cell>
          <cell r="M56">
            <v>49150</v>
          </cell>
          <cell r="O56">
            <v>66053</v>
          </cell>
          <cell r="P56">
            <v>236839</v>
          </cell>
          <cell r="Q56">
            <v>61193</v>
          </cell>
          <cell r="R56">
            <v>21600</v>
          </cell>
          <cell r="S56">
            <v>173410</v>
          </cell>
          <cell r="T56">
            <v>230771</v>
          </cell>
          <cell r="U56">
            <v>122408</v>
          </cell>
          <cell r="V56">
            <v>490540</v>
          </cell>
          <cell r="W56">
            <v>332652</v>
          </cell>
          <cell r="X56">
            <v>301645</v>
          </cell>
          <cell r="Y56">
            <v>538735</v>
          </cell>
        </row>
        <row r="57">
          <cell r="A57" t="str">
            <v>Chile</v>
          </cell>
          <cell r="B57">
            <v>156398</v>
          </cell>
          <cell r="C57">
            <v>264201</v>
          </cell>
          <cell r="D57">
            <v>146791</v>
          </cell>
          <cell r="E57">
            <v>28379</v>
          </cell>
          <cell r="F57">
            <v>16200</v>
          </cell>
          <cell r="G57">
            <v>292530</v>
          </cell>
          <cell r="H57">
            <v>941325</v>
          </cell>
          <cell r="I57">
            <v>32374</v>
          </cell>
          <cell r="J57">
            <v>154109</v>
          </cell>
          <cell r="K57">
            <v>113032</v>
          </cell>
          <cell r="M57">
            <v>6470</v>
          </cell>
          <cell r="N57">
            <v>205000</v>
          </cell>
          <cell r="O57">
            <v>3461</v>
          </cell>
          <cell r="P57">
            <v>162631</v>
          </cell>
          <cell r="R57">
            <v>25718</v>
          </cell>
          <cell r="T57">
            <v>5300</v>
          </cell>
          <cell r="V57">
            <v>9200</v>
          </cell>
          <cell r="X57">
            <v>60500</v>
          </cell>
        </row>
        <row r="58">
          <cell r="A58" t="str">
            <v>Russia</v>
          </cell>
          <cell r="B58">
            <v>89447</v>
          </cell>
          <cell r="C58">
            <v>250588</v>
          </cell>
          <cell r="D58">
            <v>246390</v>
          </cell>
          <cell r="E58">
            <v>158162</v>
          </cell>
          <cell r="F58">
            <v>229816</v>
          </cell>
          <cell r="G58">
            <v>159434</v>
          </cell>
          <cell r="H58">
            <v>253331</v>
          </cell>
          <cell r="I58">
            <v>540161</v>
          </cell>
          <cell r="J58">
            <v>33046</v>
          </cell>
          <cell r="K58">
            <v>13765</v>
          </cell>
          <cell r="L58">
            <v>24975</v>
          </cell>
          <cell r="M58">
            <v>94528</v>
          </cell>
          <cell r="O58">
            <v>123006</v>
          </cell>
          <cell r="P58">
            <v>198500</v>
          </cell>
          <cell r="X58">
            <v>4255</v>
          </cell>
          <cell r="Y58">
            <v>54684</v>
          </cell>
        </row>
        <row r="59">
          <cell r="A59" t="str">
            <v>Indonesia</v>
          </cell>
          <cell r="B59">
            <v>40040</v>
          </cell>
          <cell r="C59">
            <v>332606</v>
          </cell>
          <cell r="D59">
            <v>122132</v>
          </cell>
          <cell r="E59">
            <v>72666</v>
          </cell>
          <cell r="F59">
            <v>69152</v>
          </cell>
          <cell r="G59">
            <v>12666</v>
          </cell>
          <cell r="H59">
            <v>12666</v>
          </cell>
          <cell r="I59">
            <v>61537</v>
          </cell>
          <cell r="J59">
            <v>73364</v>
          </cell>
          <cell r="K59">
            <v>52000</v>
          </cell>
          <cell r="L59">
            <v>21666</v>
          </cell>
          <cell r="M59">
            <v>28360</v>
          </cell>
          <cell r="N59">
            <v>12666</v>
          </cell>
          <cell r="O59">
            <v>268900</v>
          </cell>
          <cell r="P59">
            <v>56011</v>
          </cell>
          <cell r="Q59">
            <v>62598</v>
          </cell>
          <cell r="R59">
            <v>52000</v>
          </cell>
          <cell r="S59">
            <v>62603</v>
          </cell>
          <cell r="T59">
            <v>4740</v>
          </cell>
          <cell r="U59">
            <v>54056</v>
          </cell>
          <cell r="W59">
            <v>41825</v>
          </cell>
          <cell r="X59">
            <v>119469</v>
          </cell>
        </row>
        <row r="60">
          <cell r="A60" t="str">
            <v>Argentina</v>
          </cell>
          <cell r="C60">
            <v>199303</v>
          </cell>
          <cell r="D60">
            <v>16180</v>
          </cell>
          <cell r="E60">
            <v>228809</v>
          </cell>
          <cell r="F60">
            <v>5500</v>
          </cell>
          <cell r="G60">
            <v>48035</v>
          </cell>
          <cell r="H60">
            <v>52434</v>
          </cell>
          <cell r="I60">
            <v>63127</v>
          </cell>
          <cell r="J60">
            <v>216417</v>
          </cell>
          <cell r="L60">
            <v>30000</v>
          </cell>
          <cell r="M60">
            <v>19701</v>
          </cell>
          <cell r="N60">
            <v>58425</v>
          </cell>
          <cell r="O60">
            <v>3800</v>
          </cell>
          <cell r="Q60">
            <v>10092</v>
          </cell>
          <cell r="R60">
            <v>311100</v>
          </cell>
          <cell r="T60">
            <v>28208</v>
          </cell>
          <cell r="V60">
            <v>2650</v>
          </cell>
          <cell r="X60">
            <v>3080</v>
          </cell>
        </row>
        <row r="61">
          <cell r="A61" t="str">
            <v>Norway</v>
          </cell>
          <cell r="B61">
            <v>40663</v>
          </cell>
          <cell r="C61">
            <v>5750</v>
          </cell>
          <cell r="D61">
            <v>7600</v>
          </cell>
          <cell r="E61">
            <v>37641</v>
          </cell>
          <cell r="F61">
            <v>45875</v>
          </cell>
          <cell r="G61">
            <v>166375</v>
          </cell>
          <cell r="H61">
            <v>94231</v>
          </cell>
          <cell r="I61">
            <v>78575</v>
          </cell>
          <cell r="J61">
            <v>174922</v>
          </cell>
          <cell r="L61">
            <v>47311</v>
          </cell>
          <cell r="M61">
            <v>15400</v>
          </cell>
          <cell r="N61">
            <v>43842</v>
          </cell>
          <cell r="O61">
            <v>43347</v>
          </cell>
          <cell r="P61">
            <v>43350</v>
          </cell>
          <cell r="Q61">
            <v>6749</v>
          </cell>
          <cell r="R61">
            <v>80618</v>
          </cell>
          <cell r="S61">
            <v>39258</v>
          </cell>
          <cell r="T61">
            <v>64504</v>
          </cell>
          <cell r="U61">
            <v>40535</v>
          </cell>
          <cell r="V61">
            <v>29600</v>
          </cell>
          <cell r="W61">
            <v>34123</v>
          </cell>
          <cell r="X61">
            <v>49203</v>
          </cell>
          <cell r="Y61">
            <v>93897</v>
          </cell>
        </row>
        <row r="62">
          <cell r="A62" t="str">
            <v>Moldova</v>
          </cell>
          <cell r="B62">
            <v>26884</v>
          </cell>
          <cell r="C62">
            <v>44800</v>
          </cell>
          <cell r="D62">
            <v>47225</v>
          </cell>
          <cell r="E62">
            <v>26380</v>
          </cell>
          <cell r="F62">
            <v>8000</v>
          </cell>
          <cell r="G62">
            <v>16400</v>
          </cell>
          <cell r="H62">
            <v>52912</v>
          </cell>
          <cell r="I62">
            <v>15000</v>
          </cell>
          <cell r="J62">
            <v>20800</v>
          </cell>
          <cell r="K62">
            <v>38012</v>
          </cell>
          <cell r="L62">
            <v>20480</v>
          </cell>
          <cell r="M62">
            <v>31250</v>
          </cell>
          <cell r="N62">
            <v>37283</v>
          </cell>
          <cell r="O62">
            <v>35700</v>
          </cell>
          <cell r="P62">
            <v>16750</v>
          </cell>
          <cell r="Q62">
            <v>19856</v>
          </cell>
          <cell r="R62">
            <v>45810</v>
          </cell>
          <cell r="S62">
            <v>42100</v>
          </cell>
          <cell r="T62">
            <v>83084</v>
          </cell>
          <cell r="U62">
            <v>307835</v>
          </cell>
          <cell r="V62">
            <v>190990</v>
          </cell>
          <cell r="W62">
            <v>67020</v>
          </cell>
          <cell r="X62">
            <v>33335</v>
          </cell>
          <cell r="Y62">
            <v>8750</v>
          </cell>
        </row>
        <row r="63">
          <cell r="A63" t="str">
            <v>Venezuela</v>
          </cell>
          <cell r="C63">
            <v>4000</v>
          </cell>
          <cell r="E63">
            <v>153253</v>
          </cell>
          <cell r="F63">
            <v>33517</v>
          </cell>
          <cell r="G63">
            <v>39622</v>
          </cell>
          <cell r="H63">
            <v>849239</v>
          </cell>
          <cell r="I63">
            <v>20000</v>
          </cell>
          <cell r="J63">
            <v>49501</v>
          </cell>
          <cell r="K63">
            <v>6121</v>
          </cell>
          <cell r="M63">
            <v>4200</v>
          </cell>
        </row>
        <row r="64">
          <cell r="A64" t="str">
            <v>United Arab Emirates</v>
          </cell>
          <cell r="G64">
            <v>259663</v>
          </cell>
          <cell r="H64">
            <v>259500</v>
          </cell>
          <cell r="I64">
            <v>106000</v>
          </cell>
          <cell r="J64">
            <v>93707</v>
          </cell>
          <cell r="L64">
            <v>10000</v>
          </cell>
          <cell r="M64">
            <v>13343</v>
          </cell>
          <cell r="S64">
            <v>228500</v>
          </cell>
          <cell r="Y64">
            <v>30000</v>
          </cell>
        </row>
        <row r="65">
          <cell r="A65" t="str">
            <v>Sri Lanka</v>
          </cell>
          <cell r="C65">
            <v>74300</v>
          </cell>
          <cell r="E65">
            <v>18188</v>
          </cell>
          <cell r="G65">
            <v>84763</v>
          </cell>
          <cell r="H65">
            <v>21502</v>
          </cell>
          <cell r="I65">
            <v>284650</v>
          </cell>
          <cell r="J65">
            <v>53948</v>
          </cell>
          <cell r="L65">
            <v>19183</v>
          </cell>
          <cell r="M65">
            <v>56600</v>
          </cell>
          <cell r="Q65">
            <v>111181</v>
          </cell>
          <cell r="R65">
            <v>4800</v>
          </cell>
          <cell r="W65">
            <v>3676</v>
          </cell>
          <cell r="X65">
            <v>20836</v>
          </cell>
          <cell r="Y65">
            <v>51350</v>
          </cell>
        </row>
        <row r="66">
          <cell r="A66" t="str">
            <v>Colombia</v>
          </cell>
          <cell r="B66">
            <v>31951</v>
          </cell>
          <cell r="C66">
            <v>2935</v>
          </cell>
          <cell r="D66">
            <v>14000</v>
          </cell>
          <cell r="E66">
            <v>14000</v>
          </cell>
          <cell r="H66">
            <v>10000</v>
          </cell>
          <cell r="I66">
            <v>20000</v>
          </cell>
          <cell r="J66">
            <v>191393</v>
          </cell>
          <cell r="M66">
            <v>36976</v>
          </cell>
          <cell r="N66">
            <v>8874</v>
          </cell>
          <cell r="P66">
            <v>50850</v>
          </cell>
          <cell r="R66">
            <v>61687</v>
          </cell>
          <cell r="S66">
            <v>12307</v>
          </cell>
          <cell r="T66">
            <v>15924</v>
          </cell>
          <cell r="U66">
            <v>43736</v>
          </cell>
          <cell r="V66">
            <v>8442</v>
          </cell>
          <cell r="W66">
            <v>164130</v>
          </cell>
          <cell r="Y66">
            <v>88808</v>
          </cell>
        </row>
        <row r="67">
          <cell r="A67" t="str">
            <v>Ecuador</v>
          </cell>
          <cell r="C67">
            <v>2500</v>
          </cell>
          <cell r="D67">
            <v>4000</v>
          </cell>
          <cell r="F67">
            <v>10950</v>
          </cell>
          <cell r="K67">
            <v>11410</v>
          </cell>
          <cell r="N67">
            <v>17500</v>
          </cell>
          <cell r="O67">
            <v>40500</v>
          </cell>
          <cell r="Q67">
            <v>132092</v>
          </cell>
          <cell r="R67">
            <v>376878</v>
          </cell>
          <cell r="S67">
            <v>11098</v>
          </cell>
          <cell r="T67">
            <v>11848</v>
          </cell>
          <cell r="V67">
            <v>63350</v>
          </cell>
          <cell r="W67">
            <v>34981</v>
          </cell>
          <cell r="Y67">
            <v>11000</v>
          </cell>
        </row>
        <row r="68">
          <cell r="A68" t="str">
            <v>Philippines</v>
          </cell>
          <cell r="C68">
            <v>10070</v>
          </cell>
          <cell r="D68">
            <v>66300</v>
          </cell>
          <cell r="E68">
            <v>65578</v>
          </cell>
          <cell r="F68">
            <v>92673</v>
          </cell>
          <cell r="G68">
            <v>4720</v>
          </cell>
          <cell r="H68">
            <v>59019</v>
          </cell>
          <cell r="I68">
            <v>88476</v>
          </cell>
          <cell r="J68">
            <v>10283</v>
          </cell>
          <cell r="K68">
            <v>18619</v>
          </cell>
          <cell r="L68">
            <v>4500</v>
          </cell>
          <cell r="N68">
            <v>24097</v>
          </cell>
          <cell r="O68">
            <v>11936</v>
          </cell>
          <cell r="P68">
            <v>15997</v>
          </cell>
          <cell r="R68">
            <v>11250</v>
          </cell>
          <cell r="T68">
            <v>33500</v>
          </cell>
          <cell r="U68">
            <v>25200</v>
          </cell>
          <cell r="W68">
            <v>24627</v>
          </cell>
          <cell r="X68">
            <v>7668</v>
          </cell>
          <cell r="Y68">
            <v>6489</v>
          </cell>
        </row>
        <row r="69">
          <cell r="A69" t="str">
            <v>Suriname</v>
          </cell>
          <cell r="X69">
            <v>550333</v>
          </cell>
        </row>
        <row r="70">
          <cell r="A70" t="str">
            <v>Uruguay</v>
          </cell>
          <cell r="C70">
            <v>53500</v>
          </cell>
          <cell r="H70">
            <v>78000</v>
          </cell>
          <cell r="K70">
            <v>2500</v>
          </cell>
          <cell r="U70">
            <v>365700</v>
          </cell>
        </row>
        <row r="71">
          <cell r="A71" t="str">
            <v>Honduras</v>
          </cell>
          <cell r="C71">
            <v>25000</v>
          </cell>
          <cell r="E71">
            <v>17120</v>
          </cell>
          <cell r="I71">
            <v>113126</v>
          </cell>
          <cell r="J71">
            <v>34000</v>
          </cell>
          <cell r="K71">
            <v>17500</v>
          </cell>
          <cell r="L71">
            <v>82338</v>
          </cell>
          <cell r="M71">
            <v>46500</v>
          </cell>
          <cell r="N71">
            <v>87000</v>
          </cell>
          <cell r="O71">
            <v>29000</v>
          </cell>
          <cell r="P71">
            <v>20000</v>
          </cell>
        </row>
        <row r="72">
          <cell r="A72" t="str">
            <v>Lithuania</v>
          </cell>
          <cell r="C72">
            <v>19800</v>
          </cell>
          <cell r="E72">
            <v>116000</v>
          </cell>
          <cell r="Q72">
            <v>2400</v>
          </cell>
          <cell r="V72">
            <v>40060</v>
          </cell>
          <cell r="X72">
            <v>14084</v>
          </cell>
          <cell r="Y72">
            <v>173558</v>
          </cell>
        </row>
        <row r="73">
          <cell r="A73" t="str">
            <v>Peru</v>
          </cell>
          <cell r="D73">
            <v>5000</v>
          </cell>
          <cell r="G73">
            <v>45000</v>
          </cell>
          <cell r="H73">
            <v>294678</v>
          </cell>
        </row>
        <row r="74">
          <cell r="A74" t="str">
            <v>Latvia</v>
          </cell>
          <cell r="B74">
            <v>158500</v>
          </cell>
          <cell r="C74">
            <v>27170</v>
          </cell>
          <cell r="D74">
            <v>146510</v>
          </cell>
          <cell r="X74">
            <v>11162</v>
          </cell>
        </row>
        <row r="75">
          <cell r="A75" t="str">
            <v>Cyprus</v>
          </cell>
          <cell r="W75">
            <v>289995</v>
          </cell>
        </row>
        <row r="76">
          <cell r="A76" t="str">
            <v>Pakistan</v>
          </cell>
          <cell r="I76">
            <v>12000</v>
          </cell>
          <cell r="J76">
            <v>6200</v>
          </cell>
          <cell r="K76">
            <v>3500</v>
          </cell>
          <cell r="L76">
            <v>7700</v>
          </cell>
          <cell r="N76">
            <v>26065</v>
          </cell>
          <cell r="O76">
            <v>12300</v>
          </cell>
          <cell r="P76">
            <v>58800</v>
          </cell>
          <cell r="S76">
            <v>25968</v>
          </cell>
          <cell r="T76">
            <v>15970</v>
          </cell>
          <cell r="U76">
            <v>55515</v>
          </cell>
          <cell r="V76">
            <v>8393</v>
          </cell>
          <cell r="Y76">
            <v>19440</v>
          </cell>
        </row>
        <row r="77">
          <cell r="A77" t="str">
            <v>Syria</v>
          </cell>
          <cell r="C77">
            <v>197311</v>
          </cell>
          <cell r="D77">
            <v>43500</v>
          </cell>
        </row>
        <row r="78">
          <cell r="A78" t="str">
            <v>Greece</v>
          </cell>
          <cell r="B78">
            <v>11550</v>
          </cell>
          <cell r="F78">
            <v>55839</v>
          </cell>
          <cell r="J78">
            <v>79780</v>
          </cell>
          <cell r="L78">
            <v>6815</v>
          </cell>
          <cell r="R78">
            <v>10000</v>
          </cell>
          <cell r="T78">
            <v>25216</v>
          </cell>
          <cell r="U78">
            <v>21457</v>
          </cell>
          <cell r="V78">
            <v>4972</v>
          </cell>
          <cell r="W78">
            <v>10409</v>
          </cell>
        </row>
        <row r="79">
          <cell r="A79" t="str">
            <v>Panama</v>
          </cell>
          <cell r="H79">
            <v>2200</v>
          </cell>
          <cell r="J79">
            <v>138110</v>
          </cell>
          <cell r="V79">
            <v>40800</v>
          </cell>
        </row>
        <row r="80">
          <cell r="A80" t="str">
            <v>Macau</v>
          </cell>
          <cell r="C80">
            <v>6300</v>
          </cell>
          <cell r="G80">
            <v>95600</v>
          </cell>
          <cell r="H80">
            <v>24705</v>
          </cell>
          <cell r="J80">
            <v>27900</v>
          </cell>
          <cell r="K80">
            <v>3000</v>
          </cell>
          <cell r="W80">
            <v>7938</v>
          </cell>
        </row>
        <row r="81">
          <cell r="A81" t="str">
            <v>El Salvador</v>
          </cell>
          <cell r="E81">
            <v>7500</v>
          </cell>
          <cell r="F81">
            <v>42500</v>
          </cell>
          <cell r="O81">
            <v>6536</v>
          </cell>
          <cell r="Q81">
            <v>75007</v>
          </cell>
          <cell r="X81">
            <v>25000</v>
          </cell>
        </row>
        <row r="82">
          <cell r="A82" t="str">
            <v>Bosnia and Herzegovina</v>
          </cell>
          <cell r="L82">
            <v>16819</v>
          </cell>
          <cell r="X82">
            <v>125026</v>
          </cell>
        </row>
        <row r="83">
          <cell r="A83" t="str">
            <v>Serbia</v>
          </cell>
          <cell r="J83">
            <v>4234</v>
          </cell>
          <cell r="M83">
            <v>18000</v>
          </cell>
          <cell r="N83">
            <v>6711</v>
          </cell>
          <cell r="P83">
            <v>2741</v>
          </cell>
          <cell r="Q83">
            <v>10807</v>
          </cell>
          <cell r="S83">
            <v>10080</v>
          </cell>
          <cell r="V83">
            <v>29192</v>
          </cell>
        </row>
        <row r="84">
          <cell r="A84" t="str">
            <v>Montenegro</v>
          </cell>
          <cell r="V84">
            <v>80000</v>
          </cell>
        </row>
        <row r="85">
          <cell r="A85" t="str">
            <v>Laos</v>
          </cell>
          <cell r="X85">
            <v>54700</v>
          </cell>
        </row>
        <row r="86">
          <cell r="A86" t="str">
            <v>Guatemala</v>
          </cell>
          <cell r="C86">
            <v>6000</v>
          </cell>
          <cell r="D86">
            <v>14390</v>
          </cell>
          <cell r="E86">
            <v>9800</v>
          </cell>
          <cell r="L86">
            <v>10100</v>
          </cell>
          <cell r="U86">
            <v>13000</v>
          </cell>
        </row>
        <row r="87">
          <cell r="A87" t="str">
            <v>New Caledonia</v>
          </cell>
          <cell r="M87">
            <v>30792</v>
          </cell>
          <cell r="U87">
            <v>20890</v>
          </cell>
        </row>
        <row r="88">
          <cell r="A88" t="str">
            <v>Monaco</v>
          </cell>
          <cell r="V88">
            <v>24829</v>
          </cell>
          <cell r="W88">
            <v>26370</v>
          </cell>
        </row>
        <row r="89">
          <cell r="A89" t="str">
            <v>Croatia</v>
          </cell>
          <cell r="I89">
            <v>5656</v>
          </cell>
          <cell r="N89">
            <v>9034</v>
          </cell>
          <cell r="R89">
            <v>30000</v>
          </cell>
        </row>
        <row r="90">
          <cell r="A90" t="str">
            <v>Iceland</v>
          </cell>
          <cell r="E90">
            <v>4528</v>
          </cell>
          <cell r="I90">
            <v>15232</v>
          </cell>
          <cell r="O90">
            <v>5000</v>
          </cell>
          <cell r="R90">
            <v>13216</v>
          </cell>
        </row>
        <row r="91">
          <cell r="A91" t="str">
            <v>Nepal</v>
          </cell>
          <cell r="M91">
            <v>30682</v>
          </cell>
        </row>
        <row r="92">
          <cell r="A92" t="str">
            <v>Jamaica</v>
          </cell>
          <cell r="E92">
            <v>30001</v>
          </cell>
        </row>
        <row r="93">
          <cell r="A93" t="str">
            <v>Bahrain</v>
          </cell>
          <cell r="E93">
            <v>28000</v>
          </cell>
        </row>
        <row r="94">
          <cell r="A94" t="str">
            <v>Nauru</v>
          </cell>
          <cell r="H94">
            <v>5802</v>
          </cell>
          <cell r="K94">
            <v>18345</v>
          </cell>
        </row>
        <row r="95">
          <cell r="A95" t="str">
            <v>Kyrgyzstan</v>
          </cell>
          <cell r="R95">
            <v>22000</v>
          </cell>
        </row>
        <row r="96">
          <cell r="A96" t="str">
            <v>Kosovo</v>
          </cell>
          <cell r="X96">
            <v>19696</v>
          </cell>
        </row>
        <row r="97">
          <cell r="A97" t="str">
            <v>Qatar</v>
          </cell>
          <cell r="T97">
            <v>5514</v>
          </cell>
          <cell r="U97">
            <v>8517</v>
          </cell>
        </row>
        <row r="98">
          <cell r="A98" t="str">
            <v>Trinidad and Tobago</v>
          </cell>
          <cell r="H98">
            <v>9090</v>
          </cell>
          <cell r="R98">
            <v>3750</v>
          </cell>
        </row>
        <row r="99">
          <cell r="A99" t="str">
            <v>Malta</v>
          </cell>
          <cell r="N99">
            <v>2727</v>
          </cell>
          <cell r="T99">
            <v>5567</v>
          </cell>
          <cell r="Y99">
            <v>4000</v>
          </cell>
        </row>
        <row r="100">
          <cell r="A100" t="str">
            <v>Paraguay</v>
          </cell>
          <cell r="K100">
            <v>10000</v>
          </cell>
        </row>
        <row r="101">
          <cell r="A101" t="str">
            <v>Georgia</v>
          </cell>
          <cell r="N101">
            <v>8500</v>
          </cell>
        </row>
        <row r="102">
          <cell r="A102" t="str">
            <v>Jordan</v>
          </cell>
          <cell r="O102">
            <v>6053</v>
          </cell>
        </row>
        <row r="103">
          <cell r="A103" t="str">
            <v>Timor-Leste</v>
          </cell>
          <cell r="C103">
            <v>6000</v>
          </cell>
        </row>
        <row r="104">
          <cell r="A104" t="str">
            <v>Bangladesh</v>
          </cell>
          <cell r="W104">
            <v>3750</v>
          </cell>
        </row>
        <row r="105">
          <cell r="A105" t="str">
            <v>British Virgin Islands</v>
          </cell>
          <cell r="U105">
            <v>3000</v>
          </cell>
        </row>
        <row r="106">
          <cell r="A106" t="str">
            <v>Antigua and Barbuda</v>
          </cell>
          <cell r="Q106">
            <v>2745</v>
          </cell>
        </row>
        <row r="107">
          <cell r="A107" t="str">
            <v>Guadeloupe</v>
          </cell>
          <cell r="P107">
            <v>2597</v>
          </cell>
        </row>
        <row r="108">
          <cell r="A108" t="str">
            <v>Gaza Strip Administered by Israel</v>
          </cell>
        </row>
        <row r="109">
          <cell r="A109" t="str">
            <v>Iran</v>
          </cell>
        </row>
        <row r="110">
          <cell r="A110" t="str">
            <v>Iraq</v>
          </cell>
        </row>
        <row r="111">
          <cell r="A111" t="str">
            <v>Kuwait</v>
          </cell>
        </row>
        <row r="112">
          <cell r="A112" t="str">
            <v>Lebanon</v>
          </cell>
        </row>
        <row r="113">
          <cell r="A113" t="str">
            <v>Oman</v>
          </cell>
        </row>
        <row r="114">
          <cell r="A114" t="str">
            <v>Saudi Arabia</v>
          </cell>
        </row>
        <row r="115">
          <cell r="A115" t="str">
            <v>West Bank Administered by Israel</v>
          </cell>
        </row>
        <row r="116">
          <cell r="A116" t="str">
            <v>Yemen</v>
          </cell>
        </row>
        <row r="117">
          <cell r="A117" t="str">
            <v>Afghanistan</v>
          </cell>
        </row>
        <row r="118">
          <cell r="A118" t="str">
            <v>Bhutan</v>
          </cell>
        </row>
        <row r="119">
          <cell r="A119" t="str">
            <v>Brunei</v>
          </cell>
        </row>
        <row r="120">
          <cell r="A120" t="str">
            <v>Burma</v>
          </cell>
        </row>
        <row r="121">
          <cell r="A121" t="str">
            <v>Cambodia</v>
          </cell>
        </row>
        <row r="122">
          <cell r="A122" t="str">
            <v>Iraqi-Saudi Arabia Neutral Zone (through Dec 1992)</v>
          </cell>
        </row>
        <row r="123">
          <cell r="A123" t="str">
            <v>Korea, North</v>
          </cell>
        </row>
        <row r="124">
          <cell r="A124" t="str">
            <v>Maldives</v>
          </cell>
        </row>
        <row r="125">
          <cell r="A125" t="str">
            <v>Mongolia</v>
          </cell>
        </row>
        <row r="126">
          <cell r="A126" t="str">
            <v>Christmas Island</v>
          </cell>
        </row>
        <row r="127">
          <cell r="A127" t="str">
            <v>Cocos (Keeling) Islands</v>
          </cell>
        </row>
        <row r="128">
          <cell r="A128" t="str">
            <v>Cook Islands</v>
          </cell>
        </row>
        <row r="129">
          <cell r="A129" t="str">
            <v>Fiji</v>
          </cell>
        </row>
        <row r="130">
          <cell r="A130" t="str">
            <v>French Polynesia</v>
          </cell>
        </row>
        <row r="131">
          <cell r="A131" t="str">
            <v>Heard and McDonald Islands</v>
          </cell>
        </row>
        <row r="132">
          <cell r="A132" t="str">
            <v>Kiribati</v>
          </cell>
        </row>
        <row r="133">
          <cell r="A133" t="str">
            <v>Marshall Islands</v>
          </cell>
        </row>
        <row r="134">
          <cell r="A134" t="str">
            <v>Micronesia</v>
          </cell>
        </row>
        <row r="135">
          <cell r="A135" t="str">
            <v>Niue</v>
          </cell>
        </row>
        <row r="136">
          <cell r="A136" t="str">
            <v>Norfolk Island</v>
          </cell>
        </row>
        <row r="137">
          <cell r="A137" t="str">
            <v>Palau</v>
          </cell>
        </row>
        <row r="138">
          <cell r="A138" t="str">
            <v>Papua New Guinea</v>
          </cell>
        </row>
        <row r="139">
          <cell r="A139" t="str">
            <v>Pitcairn Islands</v>
          </cell>
        </row>
        <row r="140">
          <cell r="A140" t="str">
            <v>Samoa</v>
          </cell>
        </row>
        <row r="141">
          <cell r="A141" t="str">
            <v>Solomon Islands</v>
          </cell>
        </row>
        <row r="142">
          <cell r="A142" t="str">
            <v>Tokelau</v>
          </cell>
        </row>
        <row r="143">
          <cell r="A143" t="str">
            <v>Tonga</v>
          </cell>
        </row>
        <row r="144">
          <cell r="A144" t="str">
            <v>Tuvalu</v>
          </cell>
        </row>
        <row r="145">
          <cell r="A145" t="str">
            <v>Vanuatu</v>
          </cell>
        </row>
        <row r="146">
          <cell r="A146" t="str">
            <v>Wallis and Futuna</v>
          </cell>
        </row>
        <row r="147">
          <cell r="A147" t="str">
            <v>Albania</v>
          </cell>
        </row>
        <row r="148">
          <cell r="A148" t="str">
            <v>Andorra</v>
          </cell>
        </row>
        <row r="149">
          <cell r="A149" t="str">
            <v>Armenia</v>
          </cell>
        </row>
        <row r="150">
          <cell r="A150" t="str">
            <v>Azerbaijan</v>
          </cell>
        </row>
        <row r="151">
          <cell r="A151" t="str">
            <v>Czechoslovakia (through Dec 1992)</v>
          </cell>
        </row>
        <row r="152">
          <cell r="A152" t="str">
            <v>Faroe Islands</v>
          </cell>
        </row>
        <row r="153">
          <cell r="A153" t="str">
            <v>Gibraltar</v>
          </cell>
        </row>
        <row r="154">
          <cell r="A154" t="str">
            <v>Kazakhstan</v>
          </cell>
        </row>
        <row r="155">
          <cell r="A155" t="str">
            <v>Liechtenstein</v>
          </cell>
        </row>
        <row r="156">
          <cell r="A156" t="str">
            <v>Macedonia</v>
          </cell>
        </row>
        <row r="157">
          <cell r="A157" t="str">
            <v>San Marino</v>
          </cell>
        </row>
        <row r="158">
          <cell r="A158" t="str">
            <v>Serbia (Jan 2007 - Dec 2008)</v>
          </cell>
        </row>
        <row r="159">
          <cell r="A159" t="str">
            <v>Serbia and Montenegro (Aug 2003 - Dec 2006)</v>
          </cell>
        </row>
        <row r="160">
          <cell r="A160" t="str">
            <v>Svalbard, Jan Mayen Island</v>
          </cell>
        </row>
        <row r="161">
          <cell r="A161" t="str">
            <v>Tajikistan</v>
          </cell>
        </row>
        <row r="162">
          <cell r="A162" t="str">
            <v>Turkmenistan</v>
          </cell>
        </row>
        <row r="163">
          <cell r="A163" t="str">
            <v>Soviet Union (through Jun 1992)</v>
          </cell>
        </row>
        <row r="164">
          <cell r="A164" t="str">
            <v>Uzbekistan</v>
          </cell>
        </row>
        <row r="165">
          <cell r="A165" t="str">
            <v>Vatican City</v>
          </cell>
        </row>
        <row r="166">
          <cell r="A166" t="str">
            <v>Yugoslavia (through May 1992)</v>
          </cell>
        </row>
        <row r="167">
          <cell r="A167" t="str">
            <v>Greenland</v>
          </cell>
        </row>
        <row r="168">
          <cell r="A168" t="str">
            <v>St Pierre and Miquelon</v>
          </cell>
        </row>
        <row r="169">
          <cell r="A169" t="str">
            <v>Anguilla</v>
          </cell>
        </row>
        <row r="170">
          <cell r="A170" t="str">
            <v>Aruba</v>
          </cell>
        </row>
        <row r="171">
          <cell r="A171" t="str">
            <v>Bahamas</v>
          </cell>
        </row>
        <row r="172">
          <cell r="A172" t="str">
            <v>Barbados</v>
          </cell>
        </row>
        <row r="173">
          <cell r="A173" t="str">
            <v>Belize</v>
          </cell>
        </row>
        <row r="174">
          <cell r="A174" t="str">
            <v>Bermuda</v>
          </cell>
        </row>
        <row r="175">
          <cell r="A175" t="str">
            <v>Cayman Islands</v>
          </cell>
        </row>
        <row r="176">
          <cell r="A176" t="str">
            <v>Cuba</v>
          </cell>
        </row>
        <row r="177">
          <cell r="A177" t="str">
            <v>Curacao</v>
          </cell>
        </row>
        <row r="178">
          <cell r="A178" t="str">
            <v>Dominica</v>
          </cell>
        </row>
        <row r="179">
          <cell r="A179" t="str">
            <v>Grenada</v>
          </cell>
        </row>
        <row r="180">
          <cell r="A180" t="str">
            <v>Haiti</v>
          </cell>
        </row>
        <row r="181">
          <cell r="A181" t="str">
            <v>Martinique</v>
          </cell>
        </row>
        <row r="182">
          <cell r="A182" t="str">
            <v>Montserrat</v>
          </cell>
        </row>
        <row r="183">
          <cell r="A183" t="str">
            <v>Netherlands Antilles (through Apr 2011)</v>
          </cell>
        </row>
        <row r="184">
          <cell r="A184" t="str">
            <v>Nicaragua</v>
          </cell>
        </row>
        <row r="185">
          <cell r="A185" t="str">
            <v>Sint Maarten</v>
          </cell>
        </row>
        <row r="186">
          <cell r="A186" t="str">
            <v>St Kitts and Nevis</v>
          </cell>
        </row>
        <row r="187">
          <cell r="A187" t="str">
            <v>St Lucia</v>
          </cell>
        </row>
        <row r="188">
          <cell r="A188" t="str">
            <v>St Vincent and the Grenadines</v>
          </cell>
        </row>
        <row r="189">
          <cell r="A189" t="str">
            <v>Turks and Caicos Islands</v>
          </cell>
        </row>
        <row r="190">
          <cell r="A190" t="str">
            <v>Bolivia</v>
          </cell>
        </row>
        <row r="191">
          <cell r="A191" t="str">
            <v>Falkland Islands (Islas Malvinas)</v>
          </cell>
        </row>
        <row r="192">
          <cell r="A192" t="str">
            <v>French Guiana</v>
          </cell>
        </row>
        <row r="193">
          <cell r="A193" t="str">
            <v>Guyana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7AD5-0F20-4692-89B1-D9B71C82E4EF}">
  <dimension ref="A1:Z82"/>
  <sheetViews>
    <sheetView topLeftCell="U1" zoomScale="70" zoomScaleNormal="70" workbookViewId="0">
      <selection activeCell="AI12" sqref="AI12"/>
    </sheetView>
  </sheetViews>
  <sheetFormatPr defaultRowHeight="14.25" x14ac:dyDescent="0.45"/>
  <cols>
    <col min="1" max="1" width="48" bestFit="1" customWidth="1"/>
    <col min="2" max="2" width="13.73046875" bestFit="1" customWidth="1"/>
    <col min="3" max="3" width="12.53125" bestFit="1" customWidth="1"/>
    <col min="4" max="4" width="12.9296875" bestFit="1" customWidth="1"/>
    <col min="5" max="6" width="13.73046875" bestFit="1" customWidth="1"/>
    <col min="7" max="7" width="13.33203125" bestFit="1" customWidth="1"/>
    <col min="8" max="9" width="12.9296875" bestFit="1" customWidth="1"/>
    <col min="10" max="10" width="13.33203125" bestFit="1" customWidth="1"/>
    <col min="11" max="11" width="13.73046875" bestFit="1" customWidth="1"/>
    <col min="12" max="13" width="13.33203125" bestFit="1" customWidth="1"/>
    <col min="14" max="14" width="14.19921875" bestFit="1" customWidth="1"/>
    <col min="15" max="15" width="13.33203125" bestFit="1" customWidth="1"/>
    <col min="16" max="18" width="14.19921875" bestFit="1" customWidth="1"/>
    <col min="19" max="21" width="13.73046875" bestFit="1" customWidth="1"/>
    <col min="22" max="22" width="14.19921875" bestFit="1" customWidth="1"/>
    <col min="23" max="25" width="13.73046875" bestFit="1" customWidth="1"/>
    <col min="26" max="26" width="15" bestFit="1" customWidth="1"/>
  </cols>
  <sheetData>
    <row r="1" spans="1:26" x14ac:dyDescent="0.45">
      <c r="A1" s="1" t="s">
        <v>0</v>
      </c>
    </row>
    <row r="2" spans="1:26" x14ac:dyDescent="0.45">
      <c r="A2" t="s">
        <v>44</v>
      </c>
    </row>
    <row r="3" spans="1:26" x14ac:dyDescent="0.45">
      <c r="A3" t="s">
        <v>1</v>
      </c>
    </row>
    <row r="5" spans="1:26" x14ac:dyDescent="0.45">
      <c r="A5" s="2" t="s">
        <v>2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8" t="s">
        <v>222</v>
      </c>
    </row>
    <row r="6" spans="1:26" x14ac:dyDescent="0.45">
      <c r="A6" s="4" t="s">
        <v>45</v>
      </c>
      <c r="B6" s="5">
        <v>1342752730</v>
      </c>
      <c r="C6" s="5">
        <v>1390129131</v>
      </c>
      <c r="D6" s="5">
        <v>1511057052</v>
      </c>
      <c r="E6" s="5">
        <v>1602277546</v>
      </c>
      <c r="F6" s="5">
        <v>1800789460</v>
      </c>
      <c r="G6" s="5">
        <v>1553925120</v>
      </c>
      <c r="H6" s="5">
        <v>1492106361</v>
      </c>
      <c r="I6" s="5">
        <v>1116778877</v>
      </c>
      <c r="J6" s="5">
        <v>1218902769</v>
      </c>
      <c r="K6" s="5">
        <v>1408758926</v>
      </c>
      <c r="L6" s="5">
        <v>1738518388</v>
      </c>
      <c r="M6" s="5">
        <v>1942617262</v>
      </c>
      <c r="N6" s="5">
        <v>2002858898</v>
      </c>
      <c r="O6" s="5">
        <v>2163212545</v>
      </c>
      <c r="P6" s="5">
        <v>2220803558</v>
      </c>
      <c r="Q6" s="5">
        <v>2598466394</v>
      </c>
      <c r="R6" s="5">
        <v>2722263507</v>
      </c>
      <c r="S6" s="5">
        <v>2467012262</v>
      </c>
      <c r="T6" s="5">
        <v>2170496670</v>
      </c>
      <c r="U6" s="5">
        <v>2480412964</v>
      </c>
      <c r="V6" s="5">
        <v>2622759222</v>
      </c>
      <c r="W6" s="5">
        <v>2553194579</v>
      </c>
      <c r="X6" s="5">
        <v>2309103677</v>
      </c>
      <c r="Y6" s="5">
        <v>2289935157</v>
      </c>
      <c r="Z6" s="7">
        <f t="shared" ref="Z6:Z37" si="0">SUM(B6:Y6)</f>
        <v>46719133055</v>
      </c>
    </row>
    <row r="7" spans="1:26" x14ac:dyDescent="0.45">
      <c r="A7" s="4" t="s">
        <v>168</v>
      </c>
      <c r="B7" s="5">
        <v>707425452</v>
      </c>
      <c r="C7" s="5">
        <v>718755475</v>
      </c>
      <c r="D7" s="5">
        <v>730220012</v>
      </c>
      <c r="E7" s="5">
        <v>831952103</v>
      </c>
      <c r="F7" s="5">
        <v>825630153</v>
      </c>
      <c r="G7" s="5">
        <v>653807107</v>
      </c>
      <c r="H7" s="5">
        <v>624809874</v>
      </c>
      <c r="I7" s="5">
        <v>464353204</v>
      </c>
      <c r="J7" s="5">
        <v>498114141</v>
      </c>
      <c r="K7" s="5">
        <v>497850320</v>
      </c>
      <c r="L7" s="5">
        <v>609776023</v>
      </c>
      <c r="M7" s="5">
        <v>820487761</v>
      </c>
      <c r="N7" s="5">
        <v>798274843</v>
      </c>
      <c r="O7" s="5">
        <v>908974545</v>
      </c>
      <c r="P7" s="5">
        <v>919549489</v>
      </c>
      <c r="Q7" s="5">
        <v>1099650521</v>
      </c>
      <c r="R7" s="5">
        <v>1136540284</v>
      </c>
      <c r="S7" s="5">
        <v>1049975679</v>
      </c>
      <c r="T7" s="5">
        <v>861485789</v>
      </c>
      <c r="U7" s="5">
        <v>1083062011</v>
      </c>
      <c r="V7" s="5">
        <v>1132767146</v>
      </c>
      <c r="W7" s="5">
        <v>1233719935</v>
      </c>
      <c r="X7" s="5">
        <v>915138492</v>
      </c>
      <c r="Y7" s="5">
        <v>912595530</v>
      </c>
      <c r="Z7" s="7">
        <f t="shared" si="0"/>
        <v>20034915889</v>
      </c>
    </row>
    <row r="8" spans="1:26" x14ac:dyDescent="0.45">
      <c r="A8" s="4" t="s">
        <v>169</v>
      </c>
      <c r="B8" s="5">
        <v>699525297</v>
      </c>
      <c r="C8" s="5">
        <v>712852129</v>
      </c>
      <c r="D8" s="5">
        <v>714282439</v>
      </c>
      <c r="E8" s="5">
        <v>816086575</v>
      </c>
      <c r="F8" s="5">
        <v>806405708</v>
      </c>
      <c r="G8" s="5">
        <v>643937488</v>
      </c>
      <c r="H8" s="5">
        <v>612767951</v>
      </c>
      <c r="I8" s="5">
        <v>450111047</v>
      </c>
      <c r="J8" s="5">
        <v>485893815</v>
      </c>
      <c r="K8" s="5">
        <v>481555195</v>
      </c>
      <c r="L8" s="5">
        <v>590146928</v>
      </c>
      <c r="M8" s="5">
        <v>790941867</v>
      </c>
      <c r="N8" s="5">
        <v>752525055</v>
      </c>
      <c r="O8" s="5">
        <v>876339577</v>
      </c>
      <c r="P8" s="5">
        <v>898232358</v>
      </c>
      <c r="Q8" s="5">
        <v>1069900522</v>
      </c>
      <c r="R8" s="5">
        <v>1108018211</v>
      </c>
      <c r="S8" s="5">
        <v>1022047528</v>
      </c>
      <c r="T8" s="5">
        <v>830452511</v>
      </c>
      <c r="U8" s="5">
        <v>1036041288</v>
      </c>
      <c r="V8" s="5">
        <v>1077537473</v>
      </c>
      <c r="W8" s="5">
        <v>1167492536</v>
      </c>
      <c r="X8" s="5">
        <v>861349445</v>
      </c>
      <c r="Y8" s="5">
        <v>847925312</v>
      </c>
      <c r="Z8" s="7">
        <f t="shared" si="0"/>
        <v>19352368255</v>
      </c>
    </row>
    <row r="9" spans="1:26" x14ac:dyDescent="0.45">
      <c r="A9" s="4" t="s">
        <v>48</v>
      </c>
      <c r="B9" s="5">
        <v>398571004</v>
      </c>
      <c r="C9" s="5">
        <v>394493178</v>
      </c>
      <c r="D9" s="5">
        <v>463292959</v>
      </c>
      <c r="E9" s="5">
        <v>440675800</v>
      </c>
      <c r="F9" s="5">
        <v>539620326</v>
      </c>
      <c r="G9" s="5">
        <v>510493448</v>
      </c>
      <c r="H9" s="5">
        <v>512420038</v>
      </c>
      <c r="I9" s="5">
        <v>404118837</v>
      </c>
      <c r="J9" s="5">
        <v>470923786</v>
      </c>
      <c r="K9" s="5">
        <v>564918249</v>
      </c>
      <c r="L9" s="5">
        <v>795720788</v>
      </c>
      <c r="M9" s="5">
        <v>717568265</v>
      </c>
      <c r="N9" s="5">
        <v>774615119</v>
      </c>
      <c r="O9" s="5">
        <v>845313305</v>
      </c>
      <c r="P9" s="5">
        <v>868227299</v>
      </c>
      <c r="Q9" s="5">
        <v>1001857678</v>
      </c>
      <c r="R9" s="5">
        <v>1059765721</v>
      </c>
      <c r="S9" s="5">
        <v>952080737</v>
      </c>
      <c r="T9" s="5">
        <v>877699361</v>
      </c>
      <c r="U9" s="5">
        <v>864395708</v>
      </c>
      <c r="V9" s="5">
        <v>876857247</v>
      </c>
      <c r="W9" s="5">
        <v>780715224</v>
      </c>
      <c r="X9" s="5">
        <v>842638504</v>
      </c>
      <c r="Y9" s="5">
        <v>764680238</v>
      </c>
      <c r="Z9" s="7">
        <f t="shared" si="0"/>
        <v>16721662819</v>
      </c>
    </row>
    <row r="10" spans="1:26" x14ac:dyDescent="0.45">
      <c r="A10" s="4" t="s">
        <v>69</v>
      </c>
      <c r="B10" s="5">
        <v>393700580</v>
      </c>
      <c r="C10" s="5">
        <v>389242302</v>
      </c>
      <c r="D10" s="5">
        <v>458674801</v>
      </c>
      <c r="E10" s="5">
        <v>433520079</v>
      </c>
      <c r="F10" s="5">
        <v>532089298</v>
      </c>
      <c r="G10" s="5">
        <v>500019393</v>
      </c>
      <c r="H10" s="5">
        <v>505178823</v>
      </c>
      <c r="I10" s="5">
        <v>398862762</v>
      </c>
      <c r="J10" s="5">
        <v>466639428</v>
      </c>
      <c r="K10" s="5">
        <v>561805873</v>
      </c>
      <c r="L10" s="5">
        <v>789125486</v>
      </c>
      <c r="M10" s="5">
        <v>709091048</v>
      </c>
      <c r="N10" s="5">
        <v>765033387</v>
      </c>
      <c r="O10" s="5">
        <v>835546405</v>
      </c>
      <c r="P10" s="5">
        <v>857607467</v>
      </c>
      <c r="Q10" s="5">
        <v>987196806</v>
      </c>
      <c r="R10" s="5">
        <v>1035305674</v>
      </c>
      <c r="S10" s="5">
        <v>924537690</v>
      </c>
      <c r="T10" s="5">
        <v>859800118</v>
      </c>
      <c r="U10" s="5">
        <v>837876402</v>
      </c>
      <c r="V10" s="5">
        <v>846840590</v>
      </c>
      <c r="W10" s="5">
        <v>749936368</v>
      </c>
      <c r="X10" s="5">
        <v>814918642</v>
      </c>
      <c r="Y10" s="5">
        <v>731653747</v>
      </c>
      <c r="Z10" s="7">
        <f t="shared" si="0"/>
        <v>16384203169</v>
      </c>
    </row>
    <row r="11" spans="1:26" x14ac:dyDescent="0.45">
      <c r="A11" s="4" t="s">
        <v>104</v>
      </c>
      <c r="B11" s="5">
        <v>225595386</v>
      </c>
      <c r="C11" s="5">
        <v>262101793</v>
      </c>
      <c r="D11" s="5">
        <v>297545294</v>
      </c>
      <c r="E11" s="5">
        <v>316967398</v>
      </c>
      <c r="F11" s="5">
        <v>416034253</v>
      </c>
      <c r="G11" s="5">
        <v>350539154</v>
      </c>
      <c r="H11" s="5">
        <v>322170858</v>
      </c>
      <c r="I11" s="5">
        <v>226523719</v>
      </c>
      <c r="J11" s="5">
        <v>228622507</v>
      </c>
      <c r="K11" s="5">
        <v>325231696</v>
      </c>
      <c r="L11" s="5">
        <v>316322741</v>
      </c>
      <c r="M11" s="5">
        <v>376999430</v>
      </c>
      <c r="N11" s="5">
        <v>413492891</v>
      </c>
      <c r="O11" s="5">
        <v>391521961</v>
      </c>
      <c r="P11" s="5">
        <v>419434911</v>
      </c>
      <c r="Q11" s="5">
        <v>481448648</v>
      </c>
      <c r="R11" s="5">
        <v>509654733</v>
      </c>
      <c r="S11" s="5">
        <v>453152634</v>
      </c>
      <c r="T11" s="5">
        <v>424668257</v>
      </c>
      <c r="U11" s="5">
        <v>526213171</v>
      </c>
      <c r="V11" s="5">
        <v>596796148</v>
      </c>
      <c r="W11" s="5">
        <v>529753083</v>
      </c>
      <c r="X11" s="5">
        <v>539962899</v>
      </c>
      <c r="Y11" s="5">
        <v>602050970</v>
      </c>
      <c r="Z11" s="7">
        <f t="shared" si="0"/>
        <v>9552804535</v>
      </c>
    </row>
    <row r="12" spans="1:26" x14ac:dyDescent="0.45">
      <c r="A12" s="4" t="s">
        <v>4</v>
      </c>
      <c r="B12" s="5">
        <v>29879600</v>
      </c>
      <c r="C12" s="5">
        <v>40259173</v>
      </c>
      <c r="D12" s="5">
        <v>54417397</v>
      </c>
      <c r="E12" s="5">
        <v>79490233</v>
      </c>
      <c r="F12" s="5">
        <v>114999265</v>
      </c>
      <c r="G12" s="5">
        <v>154405673</v>
      </c>
      <c r="H12" s="5">
        <v>173185128</v>
      </c>
      <c r="I12" s="5">
        <v>145896185</v>
      </c>
      <c r="J12" s="5">
        <v>199886739</v>
      </c>
      <c r="K12" s="5">
        <v>253666552</v>
      </c>
      <c r="L12" s="5">
        <v>348863166</v>
      </c>
      <c r="M12" s="5">
        <v>374098446</v>
      </c>
      <c r="N12" s="5">
        <v>390700572</v>
      </c>
      <c r="O12" s="5">
        <v>470840955</v>
      </c>
      <c r="P12" s="5">
        <v>459629525</v>
      </c>
      <c r="Q12" s="5">
        <v>569272229</v>
      </c>
      <c r="R12" s="5">
        <v>599098208</v>
      </c>
      <c r="S12" s="5">
        <v>529885739</v>
      </c>
      <c r="T12" s="5">
        <v>402696976</v>
      </c>
      <c r="U12" s="5">
        <v>451202096</v>
      </c>
      <c r="V12" s="5">
        <v>440387246</v>
      </c>
      <c r="W12" s="5">
        <v>411787643</v>
      </c>
      <c r="X12" s="5">
        <v>363112963</v>
      </c>
      <c r="Y12" s="5">
        <v>352766466</v>
      </c>
      <c r="Z12" s="7">
        <f t="shared" si="0"/>
        <v>7410428175</v>
      </c>
    </row>
    <row r="13" spans="1:26" x14ac:dyDescent="0.45">
      <c r="A13" s="4" t="s">
        <v>124</v>
      </c>
      <c r="B13" s="5">
        <v>62861536</v>
      </c>
      <c r="C13" s="5">
        <v>76408373</v>
      </c>
      <c r="D13" s="5">
        <v>99483095</v>
      </c>
      <c r="E13" s="5">
        <v>137856211</v>
      </c>
      <c r="F13" s="5">
        <v>175353829</v>
      </c>
      <c r="G13" s="5">
        <v>161485759</v>
      </c>
      <c r="H13" s="5">
        <v>146955242</v>
      </c>
      <c r="I13" s="5">
        <v>85207560</v>
      </c>
      <c r="J13" s="5">
        <v>97893371</v>
      </c>
      <c r="K13" s="5">
        <v>135860045</v>
      </c>
      <c r="L13" s="5">
        <v>127573913</v>
      </c>
      <c r="M13" s="5">
        <v>157880752</v>
      </c>
      <c r="N13" s="5">
        <v>177513567</v>
      </c>
      <c r="O13" s="5">
        <v>158363520</v>
      </c>
      <c r="P13" s="5">
        <v>185354954</v>
      </c>
      <c r="Q13" s="5">
        <v>216522306</v>
      </c>
      <c r="R13" s="5">
        <v>209993120</v>
      </c>
      <c r="S13" s="5">
        <v>189719867</v>
      </c>
      <c r="T13" s="5">
        <v>152994621</v>
      </c>
      <c r="U13" s="5">
        <v>185670995</v>
      </c>
      <c r="V13" s="5">
        <v>217502439</v>
      </c>
      <c r="W13" s="5">
        <v>166841170</v>
      </c>
      <c r="X13" s="5">
        <v>175077504</v>
      </c>
      <c r="Y13" s="5">
        <v>189701442</v>
      </c>
      <c r="Z13" s="7">
        <f t="shared" si="0"/>
        <v>3690075191</v>
      </c>
    </row>
    <row r="14" spans="1:26" x14ac:dyDescent="0.45">
      <c r="A14" s="4" t="s">
        <v>7</v>
      </c>
      <c r="B14" s="5">
        <v>277520549</v>
      </c>
      <c r="C14" s="5">
        <v>254392330</v>
      </c>
      <c r="D14" s="5">
        <v>297111353</v>
      </c>
      <c r="E14" s="5">
        <v>233693149</v>
      </c>
      <c r="F14" s="5">
        <v>291596653</v>
      </c>
      <c r="G14" s="5">
        <v>232114555</v>
      </c>
      <c r="H14" s="5">
        <v>230744497</v>
      </c>
      <c r="I14" s="5">
        <v>151237075</v>
      </c>
      <c r="J14" s="5">
        <v>165575374</v>
      </c>
      <c r="K14" s="5">
        <v>201600327</v>
      </c>
      <c r="L14" s="5">
        <v>280956734</v>
      </c>
      <c r="M14" s="5">
        <v>195329669</v>
      </c>
      <c r="N14" s="5">
        <v>192441310</v>
      </c>
      <c r="O14" s="5">
        <v>166110469</v>
      </c>
      <c r="P14" s="5">
        <v>240304081</v>
      </c>
      <c r="Q14" s="5">
        <v>214522132</v>
      </c>
      <c r="R14" s="5">
        <v>214841805</v>
      </c>
      <c r="S14" s="5">
        <v>193310884</v>
      </c>
      <c r="T14" s="5">
        <v>168458965</v>
      </c>
      <c r="U14" s="5">
        <v>161389402</v>
      </c>
      <c r="V14" s="5">
        <v>166901790</v>
      </c>
      <c r="W14" s="5">
        <v>100912633</v>
      </c>
      <c r="X14" s="5">
        <v>124666192</v>
      </c>
      <c r="Y14" s="5">
        <v>133035956</v>
      </c>
      <c r="Z14" s="7">
        <f t="shared" si="0"/>
        <v>4888767884</v>
      </c>
    </row>
    <row r="15" spans="1:26" x14ac:dyDescent="0.45">
      <c r="A15" s="4" t="s">
        <v>8</v>
      </c>
      <c r="B15" s="5">
        <v>30056875</v>
      </c>
      <c r="C15" s="5">
        <v>26909529</v>
      </c>
      <c r="D15" s="5">
        <v>38283576</v>
      </c>
      <c r="E15" s="5">
        <v>45934449</v>
      </c>
      <c r="F15" s="5">
        <v>46326133</v>
      </c>
      <c r="G15" s="5">
        <v>47063555</v>
      </c>
      <c r="H15" s="5">
        <v>28539682</v>
      </c>
      <c r="I15" s="5">
        <v>54322369</v>
      </c>
      <c r="J15" s="5">
        <v>51137001</v>
      </c>
      <c r="K15" s="5">
        <v>40262822</v>
      </c>
      <c r="L15" s="5">
        <v>90290280</v>
      </c>
      <c r="M15" s="5">
        <v>69126425</v>
      </c>
      <c r="N15" s="5">
        <v>105918204</v>
      </c>
      <c r="O15" s="5">
        <v>122556735</v>
      </c>
      <c r="P15" s="5">
        <v>84560218</v>
      </c>
      <c r="Q15" s="5">
        <v>122994134</v>
      </c>
      <c r="R15" s="5">
        <v>147360287</v>
      </c>
      <c r="S15" s="5">
        <v>124476325</v>
      </c>
      <c r="T15" s="5">
        <v>189247616</v>
      </c>
      <c r="U15" s="5">
        <v>114799485</v>
      </c>
      <c r="V15" s="5">
        <v>115763345</v>
      </c>
      <c r="W15" s="5">
        <v>124424298</v>
      </c>
      <c r="X15" s="5">
        <v>212943442</v>
      </c>
      <c r="Y15" s="5">
        <v>128854837</v>
      </c>
      <c r="Z15" s="7">
        <f t="shared" si="0"/>
        <v>2162151622</v>
      </c>
    </row>
    <row r="16" spans="1:26" x14ac:dyDescent="0.45">
      <c r="A16" s="4" t="s">
        <v>130</v>
      </c>
      <c r="B16" s="5">
        <v>37147875</v>
      </c>
      <c r="C16" s="5">
        <v>35833833</v>
      </c>
      <c r="D16" s="5">
        <v>31857210</v>
      </c>
      <c r="E16" s="5">
        <v>29954522</v>
      </c>
      <c r="F16" s="5">
        <v>31787882</v>
      </c>
      <c r="G16" s="5">
        <v>28522519</v>
      </c>
      <c r="H16" s="5">
        <v>29694102</v>
      </c>
      <c r="I16" s="5">
        <v>17726094</v>
      </c>
      <c r="J16" s="5">
        <v>23298207</v>
      </c>
      <c r="K16" s="5">
        <v>40526650</v>
      </c>
      <c r="L16" s="5">
        <v>43492686</v>
      </c>
      <c r="M16" s="5">
        <v>48155675</v>
      </c>
      <c r="N16" s="5">
        <v>45168773</v>
      </c>
      <c r="O16" s="5">
        <v>53950664</v>
      </c>
      <c r="P16" s="5">
        <v>53889116</v>
      </c>
      <c r="Q16" s="5">
        <v>65559735</v>
      </c>
      <c r="R16" s="5">
        <v>70862543</v>
      </c>
      <c r="S16" s="5">
        <v>61009116</v>
      </c>
      <c r="T16" s="5">
        <v>57934604</v>
      </c>
      <c r="U16" s="5">
        <v>85426889</v>
      </c>
      <c r="V16" s="5">
        <v>84896381</v>
      </c>
      <c r="W16" s="5">
        <v>92092168</v>
      </c>
      <c r="X16" s="5">
        <v>79343638</v>
      </c>
      <c r="Y16" s="5">
        <v>75361359</v>
      </c>
      <c r="Z16" s="7">
        <f t="shared" si="0"/>
        <v>1223492241</v>
      </c>
    </row>
    <row r="17" spans="1:26" x14ac:dyDescent="0.45">
      <c r="A17" s="4" t="s">
        <v>143</v>
      </c>
      <c r="B17" s="5">
        <v>6717090</v>
      </c>
      <c r="C17" s="5">
        <v>9134775</v>
      </c>
      <c r="D17" s="5">
        <v>14332219</v>
      </c>
      <c r="E17" s="5">
        <v>12738098</v>
      </c>
      <c r="F17" s="5">
        <v>9214937</v>
      </c>
      <c r="G17" s="5">
        <v>11244317</v>
      </c>
      <c r="H17" s="5">
        <v>9283990</v>
      </c>
      <c r="I17" s="5">
        <v>4033048</v>
      </c>
      <c r="J17" s="5">
        <v>4955857</v>
      </c>
      <c r="K17" s="5">
        <v>5175778</v>
      </c>
      <c r="L17" s="5">
        <v>5190571</v>
      </c>
      <c r="M17" s="5">
        <v>4973650</v>
      </c>
      <c r="N17" s="5">
        <v>9969357</v>
      </c>
      <c r="O17" s="5">
        <v>2722808</v>
      </c>
      <c r="P17" s="5">
        <v>6873240</v>
      </c>
      <c r="Q17" s="5">
        <v>6137296</v>
      </c>
      <c r="R17" s="5">
        <v>6187287</v>
      </c>
      <c r="S17" s="5">
        <v>5332286</v>
      </c>
      <c r="T17" s="5">
        <v>7486052</v>
      </c>
      <c r="U17" s="5">
        <v>13446851</v>
      </c>
      <c r="V17" s="5">
        <v>14299347</v>
      </c>
      <c r="W17" s="5">
        <v>12751327</v>
      </c>
      <c r="X17" s="5">
        <v>28965090</v>
      </c>
      <c r="Y17" s="5">
        <v>69024266</v>
      </c>
      <c r="Z17" s="7">
        <f t="shared" si="0"/>
        <v>280189537</v>
      </c>
    </row>
    <row r="18" spans="1:26" x14ac:dyDescent="0.45">
      <c r="A18" s="4" t="s">
        <v>171</v>
      </c>
      <c r="B18" s="5">
        <v>7900155</v>
      </c>
      <c r="C18" s="5">
        <v>5903346</v>
      </c>
      <c r="D18" s="5">
        <v>15937573</v>
      </c>
      <c r="E18" s="5">
        <v>15865528</v>
      </c>
      <c r="F18" s="5">
        <v>19224445</v>
      </c>
      <c r="G18" s="5">
        <v>9869619</v>
      </c>
      <c r="H18" s="5">
        <v>12041923</v>
      </c>
      <c r="I18" s="5">
        <v>14242157</v>
      </c>
      <c r="J18" s="5">
        <v>12220326</v>
      </c>
      <c r="K18" s="5">
        <v>16295125</v>
      </c>
      <c r="L18" s="5">
        <v>19629095</v>
      </c>
      <c r="M18" s="5">
        <v>29545894</v>
      </c>
      <c r="N18" s="5">
        <v>45749788</v>
      </c>
      <c r="O18" s="5">
        <v>32634968</v>
      </c>
      <c r="P18" s="5">
        <v>21317131</v>
      </c>
      <c r="Q18" s="5">
        <v>29749999</v>
      </c>
      <c r="R18" s="5">
        <v>28522073</v>
      </c>
      <c r="S18" s="5">
        <v>27928151</v>
      </c>
      <c r="T18" s="5">
        <v>31033278</v>
      </c>
      <c r="U18" s="5">
        <v>47020723</v>
      </c>
      <c r="V18" s="5">
        <v>55229673</v>
      </c>
      <c r="W18" s="5">
        <v>66227399</v>
      </c>
      <c r="X18" s="5">
        <v>53789047</v>
      </c>
      <c r="Y18" s="5">
        <v>64670218</v>
      </c>
      <c r="Z18" s="7">
        <f t="shared" si="0"/>
        <v>682547634</v>
      </c>
    </row>
    <row r="19" spans="1:26" x14ac:dyDescent="0.45">
      <c r="A19" s="4" t="s">
        <v>108</v>
      </c>
      <c r="B19" s="5">
        <v>8264350</v>
      </c>
      <c r="C19" s="5">
        <v>13544508</v>
      </c>
      <c r="D19" s="5">
        <v>10871948</v>
      </c>
      <c r="E19" s="5">
        <v>15158795</v>
      </c>
      <c r="F19" s="5">
        <v>40575978</v>
      </c>
      <c r="G19" s="5">
        <v>16053348</v>
      </c>
      <c r="H19" s="5">
        <v>21041386</v>
      </c>
      <c r="I19" s="5">
        <v>16601931</v>
      </c>
      <c r="J19" s="5">
        <v>9027241</v>
      </c>
      <c r="K19" s="5">
        <v>20867341</v>
      </c>
      <c r="L19" s="5">
        <v>21144450</v>
      </c>
      <c r="M19" s="5">
        <v>22931478</v>
      </c>
      <c r="N19" s="5">
        <v>25401461</v>
      </c>
      <c r="O19" s="5">
        <v>26649289</v>
      </c>
      <c r="P19" s="5">
        <v>36080785</v>
      </c>
      <c r="Q19" s="5">
        <v>34849668</v>
      </c>
      <c r="R19" s="5">
        <v>35396992</v>
      </c>
      <c r="S19" s="5">
        <v>25370475</v>
      </c>
      <c r="T19" s="5">
        <v>34059656</v>
      </c>
      <c r="U19" s="5">
        <v>35063884</v>
      </c>
      <c r="V19" s="5">
        <v>34943239</v>
      </c>
      <c r="W19" s="5">
        <v>33231073</v>
      </c>
      <c r="X19" s="5">
        <v>35921658</v>
      </c>
      <c r="Y19" s="5">
        <v>52767204</v>
      </c>
      <c r="Z19" s="7">
        <f t="shared" si="0"/>
        <v>625818138</v>
      </c>
    </row>
    <row r="20" spans="1:26" x14ac:dyDescent="0.45">
      <c r="A20" s="4" t="s">
        <v>13</v>
      </c>
      <c r="B20" s="5">
        <v>1272802</v>
      </c>
      <c r="C20" s="5">
        <v>1706528</v>
      </c>
      <c r="D20" s="5">
        <v>3197885</v>
      </c>
      <c r="E20" s="5">
        <v>1344742</v>
      </c>
      <c r="F20" s="5">
        <v>3700729</v>
      </c>
      <c r="G20" s="5">
        <v>4972239</v>
      </c>
      <c r="H20" s="5">
        <v>5724782</v>
      </c>
      <c r="I20" s="5">
        <v>3143317</v>
      </c>
      <c r="J20" s="5">
        <v>4041225</v>
      </c>
      <c r="K20" s="5">
        <v>5459243</v>
      </c>
      <c r="L20" s="5">
        <v>6764825</v>
      </c>
      <c r="M20" s="5">
        <v>4676572</v>
      </c>
      <c r="N20" s="5">
        <v>5353391</v>
      </c>
      <c r="O20" s="5">
        <v>4071083</v>
      </c>
      <c r="P20" s="5">
        <v>4655035</v>
      </c>
      <c r="Q20" s="5">
        <v>5063633</v>
      </c>
      <c r="R20" s="5">
        <v>3845733</v>
      </c>
      <c r="S20" s="5">
        <v>7164773</v>
      </c>
      <c r="T20" s="5">
        <v>29536927</v>
      </c>
      <c r="U20" s="5">
        <v>39293170</v>
      </c>
      <c r="V20" s="5">
        <v>46514646</v>
      </c>
      <c r="W20" s="5">
        <v>45059548</v>
      </c>
      <c r="X20" s="5">
        <v>43451105</v>
      </c>
      <c r="Y20" s="5">
        <v>44930058</v>
      </c>
      <c r="Z20" s="7">
        <f t="shared" si="0"/>
        <v>324943991</v>
      </c>
    </row>
    <row r="21" spans="1:26" x14ac:dyDescent="0.45">
      <c r="A21" s="4" t="s">
        <v>12</v>
      </c>
      <c r="B21" s="5">
        <v>35961086</v>
      </c>
      <c r="C21" s="5">
        <v>47049368</v>
      </c>
      <c r="D21" s="5">
        <v>47996448</v>
      </c>
      <c r="E21" s="5">
        <v>54791179</v>
      </c>
      <c r="F21" s="5">
        <v>55451607</v>
      </c>
      <c r="G21" s="5">
        <v>39792621</v>
      </c>
      <c r="H21" s="5">
        <v>42433228</v>
      </c>
      <c r="I21" s="5">
        <v>27978009</v>
      </c>
      <c r="J21" s="5">
        <v>30168154</v>
      </c>
      <c r="K21" s="5">
        <v>37403598</v>
      </c>
      <c r="L21" s="5">
        <v>39904116</v>
      </c>
      <c r="M21" s="5">
        <v>44625070</v>
      </c>
      <c r="N21" s="5">
        <v>47148556</v>
      </c>
      <c r="O21" s="5">
        <v>47266929</v>
      </c>
      <c r="P21" s="5">
        <v>45441322</v>
      </c>
      <c r="Q21" s="5">
        <v>48909040</v>
      </c>
      <c r="R21" s="5">
        <v>44744275</v>
      </c>
      <c r="S21" s="5">
        <v>49597259</v>
      </c>
      <c r="T21" s="5">
        <v>46687121</v>
      </c>
      <c r="U21" s="5">
        <v>46371491</v>
      </c>
      <c r="V21" s="5">
        <v>55169895</v>
      </c>
      <c r="W21" s="5">
        <v>37998030</v>
      </c>
      <c r="X21" s="5">
        <v>42328848</v>
      </c>
      <c r="Y21" s="5">
        <v>38822567</v>
      </c>
      <c r="Z21" s="7">
        <f t="shared" si="0"/>
        <v>1054039817</v>
      </c>
    </row>
    <row r="22" spans="1:26" x14ac:dyDescent="0.45">
      <c r="A22" s="4" t="s">
        <v>146</v>
      </c>
      <c r="B22" s="5">
        <v>31517664</v>
      </c>
      <c r="C22" s="5">
        <v>46123225</v>
      </c>
      <c r="D22" s="5">
        <v>33576529</v>
      </c>
      <c r="E22" s="5">
        <v>24990235</v>
      </c>
      <c r="F22" s="5">
        <v>32439904</v>
      </c>
      <c r="G22" s="5">
        <v>21545573</v>
      </c>
      <c r="H22" s="5">
        <v>12464105</v>
      </c>
      <c r="I22" s="5">
        <v>13334396</v>
      </c>
      <c r="J22" s="5">
        <v>13225767</v>
      </c>
      <c r="K22" s="5">
        <v>13594009</v>
      </c>
      <c r="L22" s="5">
        <v>13640180</v>
      </c>
      <c r="M22" s="5">
        <v>23253297</v>
      </c>
      <c r="N22" s="5">
        <v>23978582</v>
      </c>
      <c r="O22" s="5">
        <v>16063471</v>
      </c>
      <c r="P22" s="5">
        <v>15869273</v>
      </c>
      <c r="Q22" s="5">
        <v>21800514</v>
      </c>
      <c r="R22" s="5">
        <v>28906639</v>
      </c>
      <c r="S22" s="5">
        <v>17267426</v>
      </c>
      <c r="T22" s="5">
        <v>12014096</v>
      </c>
      <c r="U22" s="5">
        <v>25696562</v>
      </c>
      <c r="V22" s="5">
        <v>28158992</v>
      </c>
      <c r="W22" s="5">
        <v>27996927</v>
      </c>
      <c r="X22" s="5">
        <v>42065975</v>
      </c>
      <c r="Y22" s="5">
        <v>35688078</v>
      </c>
      <c r="Z22" s="7">
        <f t="shared" si="0"/>
        <v>575211419</v>
      </c>
    </row>
    <row r="23" spans="1:26" x14ac:dyDescent="0.45">
      <c r="A23" s="4" t="s">
        <v>65</v>
      </c>
      <c r="B23" s="5">
        <v>2077138</v>
      </c>
      <c r="C23" s="5">
        <v>3401023</v>
      </c>
      <c r="D23" s="5">
        <v>2304537</v>
      </c>
      <c r="E23" s="5">
        <v>4510684</v>
      </c>
      <c r="F23" s="5">
        <v>6526715</v>
      </c>
      <c r="G23" s="5">
        <v>5850770</v>
      </c>
      <c r="H23" s="5">
        <v>2957936</v>
      </c>
      <c r="I23" s="5">
        <v>3682550</v>
      </c>
      <c r="J23" s="5">
        <v>2202177</v>
      </c>
      <c r="K23" s="5">
        <v>2313342</v>
      </c>
      <c r="L23" s="5">
        <v>5442040</v>
      </c>
      <c r="M23" s="5">
        <v>6692490</v>
      </c>
      <c r="N23" s="5">
        <v>7289888</v>
      </c>
      <c r="O23" s="5">
        <v>8562373</v>
      </c>
      <c r="P23" s="5">
        <v>9803398</v>
      </c>
      <c r="Q23" s="5">
        <v>12541431</v>
      </c>
      <c r="R23" s="5">
        <v>21202751</v>
      </c>
      <c r="S23" s="5">
        <v>25767460</v>
      </c>
      <c r="T23" s="5">
        <v>15758980</v>
      </c>
      <c r="U23" s="5">
        <v>24672748</v>
      </c>
      <c r="V23" s="5">
        <v>28311727</v>
      </c>
      <c r="W23" s="5">
        <v>28643304</v>
      </c>
      <c r="X23" s="5">
        <v>26304894</v>
      </c>
      <c r="Y23" s="5">
        <v>31414802</v>
      </c>
      <c r="Z23" s="7">
        <f t="shared" si="0"/>
        <v>288235158</v>
      </c>
    </row>
    <row r="24" spans="1:26" x14ac:dyDescent="0.45">
      <c r="A24" s="4" t="s">
        <v>3</v>
      </c>
      <c r="B24" s="5">
        <v>2073638</v>
      </c>
      <c r="C24" s="5">
        <v>3319556</v>
      </c>
      <c r="D24" s="5">
        <v>2215825</v>
      </c>
      <c r="E24" s="5">
        <v>4486443</v>
      </c>
      <c r="F24" s="5">
        <v>6526715</v>
      </c>
      <c r="G24" s="5">
        <v>5747279</v>
      </c>
      <c r="H24" s="5">
        <v>2927884</v>
      </c>
      <c r="I24" s="5">
        <v>3377708</v>
      </c>
      <c r="J24" s="5">
        <v>2125006</v>
      </c>
      <c r="K24" s="5">
        <v>2309842</v>
      </c>
      <c r="L24" s="5">
        <v>5415157</v>
      </c>
      <c r="M24" s="5">
        <v>6435376</v>
      </c>
      <c r="N24" s="5">
        <v>7211808</v>
      </c>
      <c r="O24" s="5">
        <v>8445822</v>
      </c>
      <c r="P24" s="5">
        <v>9729154</v>
      </c>
      <c r="Q24" s="5">
        <v>12322460</v>
      </c>
      <c r="R24" s="5">
        <v>21193346</v>
      </c>
      <c r="S24" s="5">
        <v>25618900</v>
      </c>
      <c r="T24" s="5">
        <v>15724633</v>
      </c>
      <c r="U24" s="5">
        <v>24603772</v>
      </c>
      <c r="V24" s="5">
        <v>28288966</v>
      </c>
      <c r="W24" s="5">
        <v>28629949</v>
      </c>
      <c r="X24" s="5">
        <v>26270647</v>
      </c>
      <c r="Y24" s="5">
        <v>31344012</v>
      </c>
      <c r="Z24" s="7">
        <f t="shared" si="0"/>
        <v>286343898</v>
      </c>
    </row>
    <row r="25" spans="1:26" x14ac:dyDescent="0.45">
      <c r="A25" s="4" t="s">
        <v>158</v>
      </c>
      <c r="B25" s="5">
        <v>4624338</v>
      </c>
      <c r="C25" s="5">
        <v>6737228</v>
      </c>
      <c r="D25" s="5">
        <v>11454236</v>
      </c>
      <c r="E25" s="5">
        <v>9865331</v>
      </c>
      <c r="F25" s="5">
        <v>17673120</v>
      </c>
      <c r="G25" s="5">
        <v>8168584</v>
      </c>
      <c r="H25" s="5">
        <v>8824371</v>
      </c>
      <c r="I25" s="5">
        <v>11178068</v>
      </c>
      <c r="J25" s="5">
        <v>10365424</v>
      </c>
      <c r="K25" s="5">
        <v>9325712</v>
      </c>
      <c r="L25" s="5">
        <v>11310861</v>
      </c>
      <c r="M25" s="5">
        <v>12458168</v>
      </c>
      <c r="N25" s="5">
        <v>14039223</v>
      </c>
      <c r="O25" s="5">
        <v>14640929</v>
      </c>
      <c r="P25" s="5">
        <v>11399573</v>
      </c>
      <c r="Q25" s="5">
        <v>21861178</v>
      </c>
      <c r="R25" s="5">
        <v>26406533</v>
      </c>
      <c r="S25" s="5">
        <v>24110110</v>
      </c>
      <c r="T25" s="5">
        <v>21557133</v>
      </c>
      <c r="U25" s="5">
        <v>30286834</v>
      </c>
      <c r="V25" s="5">
        <v>51863612</v>
      </c>
      <c r="W25" s="5">
        <v>32436553</v>
      </c>
      <c r="X25" s="5">
        <v>28078705</v>
      </c>
      <c r="Y25" s="5">
        <v>28623680</v>
      </c>
      <c r="Z25" s="7">
        <f t="shared" si="0"/>
        <v>427289504</v>
      </c>
    </row>
    <row r="26" spans="1:26" x14ac:dyDescent="0.45">
      <c r="A26" s="4" t="s">
        <v>164</v>
      </c>
      <c r="B26" s="5">
        <v>16748538</v>
      </c>
      <c r="C26" s="5">
        <v>14159609</v>
      </c>
      <c r="D26" s="5">
        <v>18377439</v>
      </c>
      <c r="E26" s="5">
        <v>16674921</v>
      </c>
      <c r="F26" s="5">
        <v>22953921</v>
      </c>
      <c r="G26" s="5">
        <v>21940391</v>
      </c>
      <c r="H26" s="5">
        <v>22757732</v>
      </c>
      <c r="I26" s="5">
        <v>16454180</v>
      </c>
      <c r="J26" s="5">
        <v>13493043</v>
      </c>
      <c r="K26" s="5">
        <v>18943039</v>
      </c>
      <c r="L26" s="5">
        <v>14688515</v>
      </c>
      <c r="M26" s="5">
        <v>18180254</v>
      </c>
      <c r="N26" s="5">
        <v>24230936</v>
      </c>
      <c r="O26" s="5">
        <v>23606797</v>
      </c>
      <c r="P26" s="5">
        <v>22368888</v>
      </c>
      <c r="Q26" s="5">
        <v>17640637</v>
      </c>
      <c r="R26" s="5">
        <v>16100110</v>
      </c>
      <c r="S26" s="5">
        <v>20713911</v>
      </c>
      <c r="T26" s="5">
        <v>20152003</v>
      </c>
      <c r="U26" s="5">
        <v>20040476</v>
      </c>
      <c r="V26" s="5">
        <v>20085428</v>
      </c>
      <c r="W26" s="5">
        <v>23740664</v>
      </c>
      <c r="X26" s="5">
        <v>19479822</v>
      </c>
      <c r="Y26" s="5">
        <v>26276700</v>
      </c>
      <c r="Z26" s="7">
        <f t="shared" si="0"/>
        <v>469807954</v>
      </c>
    </row>
    <row r="27" spans="1:26" x14ac:dyDescent="0.45">
      <c r="A27" s="4" t="s">
        <v>122</v>
      </c>
      <c r="B27" s="5">
        <v>30821287</v>
      </c>
      <c r="C27" s="5">
        <v>29233911</v>
      </c>
      <c r="D27" s="5">
        <v>33029984</v>
      </c>
      <c r="E27" s="5">
        <v>34758003</v>
      </c>
      <c r="F27" s="5">
        <v>46758307</v>
      </c>
      <c r="G27" s="5">
        <v>37514658</v>
      </c>
      <c r="H27" s="5">
        <v>29067621</v>
      </c>
      <c r="I27" s="5">
        <v>22307868</v>
      </c>
      <c r="J27" s="5">
        <v>17848144</v>
      </c>
      <c r="K27" s="5">
        <v>25982256</v>
      </c>
      <c r="L27" s="5">
        <v>35629113</v>
      </c>
      <c r="M27" s="5">
        <v>30343550</v>
      </c>
      <c r="N27" s="5">
        <v>26732828</v>
      </c>
      <c r="O27" s="5">
        <v>28132452</v>
      </c>
      <c r="P27" s="5">
        <v>21701890</v>
      </c>
      <c r="Q27" s="5">
        <v>22109441</v>
      </c>
      <c r="R27" s="5">
        <v>24423223</v>
      </c>
      <c r="S27" s="5">
        <v>22967774</v>
      </c>
      <c r="T27" s="5">
        <v>29217151</v>
      </c>
      <c r="U27" s="5">
        <v>26001412</v>
      </c>
      <c r="V27" s="5">
        <v>23236410</v>
      </c>
      <c r="W27" s="5">
        <v>24725061</v>
      </c>
      <c r="X27" s="5">
        <v>31238353</v>
      </c>
      <c r="Y27" s="5">
        <v>24343826</v>
      </c>
      <c r="Z27" s="7">
        <f t="shared" si="0"/>
        <v>678124523</v>
      </c>
    </row>
    <row r="28" spans="1:26" x14ac:dyDescent="0.45">
      <c r="A28" s="4" t="s">
        <v>155</v>
      </c>
      <c r="B28" s="5">
        <v>3336397</v>
      </c>
      <c r="C28" s="5">
        <v>3733356</v>
      </c>
      <c r="D28" s="5">
        <v>11097030</v>
      </c>
      <c r="E28" s="5">
        <v>5055632</v>
      </c>
      <c r="F28" s="5">
        <v>9266227</v>
      </c>
      <c r="G28" s="5">
        <v>5307736</v>
      </c>
      <c r="H28" s="5">
        <v>4927773</v>
      </c>
      <c r="I28" s="5">
        <v>10799463</v>
      </c>
      <c r="J28" s="5">
        <v>2826261</v>
      </c>
      <c r="K28" s="5">
        <v>12431615</v>
      </c>
      <c r="L28" s="5">
        <v>7610764</v>
      </c>
      <c r="M28" s="5">
        <v>10725659</v>
      </c>
      <c r="N28" s="5">
        <v>17128643</v>
      </c>
      <c r="O28" s="5">
        <v>12101133</v>
      </c>
      <c r="P28" s="5">
        <v>10955292</v>
      </c>
      <c r="Q28" s="5">
        <v>7553033</v>
      </c>
      <c r="R28" s="5">
        <v>13209663</v>
      </c>
      <c r="S28" s="5">
        <v>10224124</v>
      </c>
      <c r="T28" s="5">
        <v>12049223</v>
      </c>
      <c r="U28" s="5">
        <v>17548181</v>
      </c>
      <c r="V28" s="5">
        <v>19990078</v>
      </c>
      <c r="W28" s="5">
        <v>13457449</v>
      </c>
      <c r="X28" s="5">
        <v>15519212</v>
      </c>
      <c r="Y28" s="5">
        <v>22832270</v>
      </c>
      <c r="Z28" s="7">
        <f t="shared" si="0"/>
        <v>259686214</v>
      </c>
    </row>
    <row r="29" spans="1:26" x14ac:dyDescent="0.45">
      <c r="A29" s="4" t="s">
        <v>114</v>
      </c>
      <c r="B29" s="6"/>
      <c r="C29" s="6"/>
      <c r="D29" s="5">
        <v>67549</v>
      </c>
      <c r="E29" s="5">
        <v>59399</v>
      </c>
      <c r="F29" s="5">
        <v>181246</v>
      </c>
      <c r="G29" s="5">
        <v>108345</v>
      </c>
      <c r="H29" s="5">
        <v>742254</v>
      </c>
      <c r="I29" s="5">
        <v>593602</v>
      </c>
      <c r="J29" s="5">
        <v>216494</v>
      </c>
      <c r="K29" s="5">
        <v>921243</v>
      </c>
      <c r="L29" s="5">
        <v>2438883</v>
      </c>
      <c r="M29" s="5">
        <v>5156448</v>
      </c>
      <c r="N29" s="5">
        <v>8061904</v>
      </c>
      <c r="O29" s="5">
        <v>13845205</v>
      </c>
      <c r="P29" s="5">
        <v>14691469</v>
      </c>
      <c r="Q29" s="5">
        <v>17892646</v>
      </c>
      <c r="R29" s="5">
        <v>17687090</v>
      </c>
      <c r="S29" s="5">
        <v>22197736</v>
      </c>
      <c r="T29" s="5">
        <v>20382952</v>
      </c>
      <c r="U29" s="5">
        <v>27691729</v>
      </c>
      <c r="V29" s="5">
        <v>30499143</v>
      </c>
      <c r="W29" s="5">
        <v>25962474</v>
      </c>
      <c r="X29" s="5">
        <v>22619167</v>
      </c>
      <c r="Y29" s="5">
        <v>21410325</v>
      </c>
      <c r="Z29" s="7">
        <f t="shared" si="0"/>
        <v>253427303</v>
      </c>
    </row>
    <row r="30" spans="1:26" x14ac:dyDescent="0.45">
      <c r="A30" s="4" t="s">
        <v>145</v>
      </c>
      <c r="B30" s="5">
        <v>1116191</v>
      </c>
      <c r="C30" s="5">
        <v>1475168</v>
      </c>
      <c r="D30" s="5">
        <v>1804587</v>
      </c>
      <c r="E30" s="5">
        <v>3957664</v>
      </c>
      <c r="F30" s="5">
        <v>3810287</v>
      </c>
      <c r="G30" s="5">
        <v>4017020</v>
      </c>
      <c r="H30" s="5">
        <v>2022091</v>
      </c>
      <c r="I30" s="5">
        <v>898823</v>
      </c>
      <c r="J30" s="5">
        <v>1251664</v>
      </c>
      <c r="K30" s="5">
        <v>1844518</v>
      </c>
      <c r="L30" s="5">
        <v>2776545</v>
      </c>
      <c r="M30" s="5">
        <v>3260278</v>
      </c>
      <c r="N30" s="5">
        <v>3827436</v>
      </c>
      <c r="O30" s="5">
        <v>2880802</v>
      </c>
      <c r="P30" s="5">
        <v>5020670</v>
      </c>
      <c r="Q30" s="5">
        <v>5133863</v>
      </c>
      <c r="R30" s="5">
        <v>4630608</v>
      </c>
      <c r="S30" s="5">
        <v>6969535</v>
      </c>
      <c r="T30" s="5">
        <v>6304023</v>
      </c>
      <c r="U30" s="5">
        <v>8617546</v>
      </c>
      <c r="V30" s="5">
        <v>11677014</v>
      </c>
      <c r="W30" s="5">
        <v>14933160</v>
      </c>
      <c r="X30" s="5">
        <v>12181311</v>
      </c>
      <c r="Y30" s="5">
        <v>12536144</v>
      </c>
      <c r="Z30" s="7">
        <f t="shared" si="0"/>
        <v>122946948</v>
      </c>
    </row>
    <row r="31" spans="1:26" x14ac:dyDescent="0.45">
      <c r="A31" s="4" t="s">
        <v>9</v>
      </c>
      <c r="B31" s="5">
        <v>1902057</v>
      </c>
      <c r="C31" s="5">
        <v>2077837</v>
      </c>
      <c r="D31" s="5">
        <v>2141894</v>
      </c>
      <c r="E31" s="5">
        <v>1990860</v>
      </c>
      <c r="F31" s="5">
        <v>2746866</v>
      </c>
      <c r="G31" s="5">
        <v>2855524</v>
      </c>
      <c r="H31" s="5">
        <v>4065699</v>
      </c>
      <c r="I31" s="5">
        <v>2123453</v>
      </c>
      <c r="J31" s="5">
        <v>2613012</v>
      </c>
      <c r="K31" s="5">
        <v>2078405</v>
      </c>
      <c r="L31" s="5">
        <v>3134390</v>
      </c>
      <c r="M31" s="5">
        <v>2479987</v>
      </c>
      <c r="N31" s="5">
        <v>3640702</v>
      </c>
      <c r="O31" s="5">
        <v>3119339</v>
      </c>
      <c r="P31" s="5">
        <v>2886323</v>
      </c>
      <c r="Q31" s="5">
        <v>3533798</v>
      </c>
      <c r="R31" s="5">
        <v>2501611</v>
      </c>
      <c r="S31" s="5">
        <v>4182633</v>
      </c>
      <c r="T31" s="5">
        <v>3729844</v>
      </c>
      <c r="U31" s="5">
        <v>4920458</v>
      </c>
      <c r="V31" s="5">
        <v>6805013</v>
      </c>
      <c r="W31" s="5">
        <v>6982079</v>
      </c>
      <c r="X31" s="5">
        <v>9022971</v>
      </c>
      <c r="Y31" s="5">
        <v>10642976</v>
      </c>
      <c r="Z31" s="7">
        <f t="shared" si="0"/>
        <v>92177731</v>
      </c>
    </row>
    <row r="32" spans="1:26" x14ac:dyDescent="0.45">
      <c r="A32" s="4" t="s">
        <v>116</v>
      </c>
      <c r="B32" s="5">
        <v>3168773</v>
      </c>
      <c r="C32" s="5">
        <v>5519981</v>
      </c>
      <c r="D32" s="5">
        <v>3109045</v>
      </c>
      <c r="E32" s="5">
        <v>2749785</v>
      </c>
      <c r="F32" s="5">
        <v>1271023</v>
      </c>
      <c r="G32" s="5">
        <v>2099148</v>
      </c>
      <c r="H32" s="5">
        <v>1768426</v>
      </c>
      <c r="I32" s="5">
        <v>793871</v>
      </c>
      <c r="J32" s="5">
        <v>1200774</v>
      </c>
      <c r="K32" s="5">
        <v>1992121</v>
      </c>
      <c r="L32" s="5">
        <v>2130041</v>
      </c>
      <c r="M32" s="5">
        <v>5388417</v>
      </c>
      <c r="N32" s="5">
        <v>4398455</v>
      </c>
      <c r="O32" s="5">
        <v>7467790</v>
      </c>
      <c r="P32" s="5">
        <v>5042725</v>
      </c>
      <c r="Q32" s="5">
        <v>6753588</v>
      </c>
      <c r="R32" s="5">
        <v>11589381</v>
      </c>
      <c r="S32" s="5">
        <v>6120899</v>
      </c>
      <c r="T32" s="5">
        <v>6707653</v>
      </c>
      <c r="U32" s="5">
        <v>8945585</v>
      </c>
      <c r="V32" s="5">
        <v>8546924</v>
      </c>
      <c r="W32" s="5">
        <v>7832115</v>
      </c>
      <c r="X32" s="5">
        <v>7241926</v>
      </c>
      <c r="Y32" s="5">
        <v>9534538</v>
      </c>
      <c r="Z32" s="7">
        <f t="shared" si="0"/>
        <v>121372984</v>
      </c>
    </row>
    <row r="33" spans="1:26" x14ac:dyDescent="0.45">
      <c r="A33" s="4" t="s">
        <v>173</v>
      </c>
      <c r="B33" s="5">
        <v>4893766</v>
      </c>
      <c r="C33" s="5">
        <v>6882053</v>
      </c>
      <c r="D33" s="5">
        <v>10025912</v>
      </c>
      <c r="E33" s="5">
        <v>8613264</v>
      </c>
      <c r="F33" s="5">
        <v>13944760</v>
      </c>
      <c r="G33" s="5">
        <v>19175170</v>
      </c>
      <c r="H33" s="5">
        <v>18980886</v>
      </c>
      <c r="I33" s="5">
        <v>17354778</v>
      </c>
      <c r="J33" s="5">
        <v>17196211</v>
      </c>
      <c r="K33" s="5">
        <v>17923903</v>
      </c>
      <c r="L33" s="5">
        <v>13671564</v>
      </c>
      <c r="M33" s="5">
        <v>22520677</v>
      </c>
      <c r="N33" s="5">
        <v>13350025</v>
      </c>
      <c r="O33" s="5">
        <v>14928780</v>
      </c>
      <c r="P33" s="5">
        <v>12080325</v>
      </c>
      <c r="Q33" s="5">
        <v>11657991</v>
      </c>
      <c r="R33" s="5">
        <v>12084244</v>
      </c>
      <c r="S33" s="5">
        <v>9714458</v>
      </c>
      <c r="T33" s="5">
        <v>6113853</v>
      </c>
      <c r="U33" s="5">
        <v>5458027</v>
      </c>
      <c r="V33" s="5">
        <v>13243429</v>
      </c>
      <c r="W33" s="5">
        <v>7716240</v>
      </c>
      <c r="X33" s="5">
        <v>8074089</v>
      </c>
      <c r="Y33" s="5">
        <v>8215359</v>
      </c>
      <c r="Z33" s="7">
        <f t="shared" si="0"/>
        <v>293819764</v>
      </c>
    </row>
    <row r="34" spans="1:26" x14ac:dyDescent="0.45">
      <c r="A34" s="4" t="s">
        <v>11</v>
      </c>
      <c r="B34" s="5">
        <v>7373473</v>
      </c>
      <c r="C34" s="5">
        <v>6012283</v>
      </c>
      <c r="D34" s="5">
        <v>6409516</v>
      </c>
      <c r="E34" s="5">
        <v>6316301</v>
      </c>
      <c r="F34" s="5">
        <v>8353503</v>
      </c>
      <c r="G34" s="5">
        <v>8278676</v>
      </c>
      <c r="H34" s="5">
        <v>8894656</v>
      </c>
      <c r="I34" s="5">
        <v>5214190</v>
      </c>
      <c r="J34" s="5">
        <v>3935093</v>
      </c>
      <c r="K34" s="5">
        <v>7022025</v>
      </c>
      <c r="L34" s="5">
        <v>8304145</v>
      </c>
      <c r="M34" s="5">
        <v>5929432</v>
      </c>
      <c r="N34" s="5">
        <v>6773505</v>
      </c>
      <c r="O34" s="5">
        <v>9679541</v>
      </c>
      <c r="P34" s="5">
        <v>9486775</v>
      </c>
      <c r="Q34" s="5">
        <v>9204075</v>
      </c>
      <c r="R34" s="5">
        <v>6938719</v>
      </c>
      <c r="S34" s="5">
        <v>8007060</v>
      </c>
      <c r="T34" s="5">
        <v>9003908</v>
      </c>
      <c r="U34" s="5">
        <v>9086250</v>
      </c>
      <c r="V34" s="5">
        <v>6062330</v>
      </c>
      <c r="W34" s="5">
        <v>10487425</v>
      </c>
      <c r="X34" s="5">
        <v>8178460</v>
      </c>
      <c r="Y34" s="5">
        <v>8085336</v>
      </c>
      <c r="Z34" s="7">
        <f t="shared" si="0"/>
        <v>183036677</v>
      </c>
    </row>
    <row r="35" spans="1:26" x14ac:dyDescent="0.45">
      <c r="A35" s="4" t="s">
        <v>14</v>
      </c>
      <c r="B35" s="5">
        <v>15723</v>
      </c>
      <c r="C35" s="5">
        <v>9250</v>
      </c>
      <c r="D35" s="5">
        <v>3290</v>
      </c>
      <c r="E35" s="5">
        <v>37630</v>
      </c>
      <c r="F35" s="5">
        <v>16500</v>
      </c>
      <c r="G35" s="5">
        <v>101032</v>
      </c>
      <c r="H35" s="5">
        <v>435611</v>
      </c>
      <c r="I35" s="5">
        <v>331653</v>
      </c>
      <c r="J35" s="5">
        <v>197786</v>
      </c>
      <c r="K35" s="5">
        <v>247603</v>
      </c>
      <c r="L35" s="5">
        <v>478564</v>
      </c>
      <c r="M35" s="5">
        <v>710697</v>
      </c>
      <c r="N35" s="5">
        <v>692172</v>
      </c>
      <c r="O35" s="5">
        <v>1205463</v>
      </c>
      <c r="P35" s="5">
        <v>1455265</v>
      </c>
      <c r="Q35" s="5">
        <v>1176309</v>
      </c>
      <c r="R35" s="5">
        <v>1815638</v>
      </c>
      <c r="S35" s="5">
        <v>2429126</v>
      </c>
      <c r="T35" s="5">
        <v>3554000</v>
      </c>
      <c r="U35" s="5">
        <v>3702875</v>
      </c>
      <c r="V35" s="5">
        <v>3818105</v>
      </c>
      <c r="W35" s="5">
        <v>5077914</v>
      </c>
      <c r="X35" s="5">
        <v>5652647</v>
      </c>
      <c r="Y35" s="5">
        <v>7459776</v>
      </c>
      <c r="Z35" s="7">
        <f t="shared" si="0"/>
        <v>40624629</v>
      </c>
    </row>
    <row r="36" spans="1:26" x14ac:dyDescent="0.45">
      <c r="A36" s="4" t="s">
        <v>207</v>
      </c>
      <c r="B36" s="5">
        <v>4662129</v>
      </c>
      <c r="C36" s="5">
        <v>6350776</v>
      </c>
      <c r="D36" s="5">
        <v>9637424</v>
      </c>
      <c r="E36" s="5">
        <v>7892258</v>
      </c>
      <c r="F36" s="5">
        <v>12999394</v>
      </c>
      <c r="G36" s="5">
        <v>17510639</v>
      </c>
      <c r="H36" s="5">
        <v>18087200</v>
      </c>
      <c r="I36" s="5">
        <v>16865749</v>
      </c>
      <c r="J36" s="5">
        <v>16534985</v>
      </c>
      <c r="K36" s="5">
        <v>17005729</v>
      </c>
      <c r="L36" s="5">
        <v>12840593</v>
      </c>
      <c r="M36" s="5">
        <v>21495517</v>
      </c>
      <c r="N36" s="5">
        <v>11453791</v>
      </c>
      <c r="O36" s="5">
        <v>14132223</v>
      </c>
      <c r="P36" s="5">
        <v>11502100</v>
      </c>
      <c r="Q36" s="5">
        <v>10942553</v>
      </c>
      <c r="R36" s="5">
        <v>11673168</v>
      </c>
      <c r="S36" s="5">
        <v>8949759</v>
      </c>
      <c r="T36" s="5">
        <v>5177660</v>
      </c>
      <c r="U36" s="5">
        <v>4750927</v>
      </c>
      <c r="V36" s="5">
        <v>11067400</v>
      </c>
      <c r="W36" s="5">
        <v>5841380</v>
      </c>
      <c r="X36" s="5">
        <v>6039184</v>
      </c>
      <c r="Y36" s="5">
        <v>6858093</v>
      </c>
      <c r="Z36" s="7">
        <f t="shared" si="0"/>
        <v>270270631</v>
      </c>
    </row>
    <row r="37" spans="1:26" x14ac:dyDescent="0.45">
      <c r="A37" s="4" t="s">
        <v>6</v>
      </c>
      <c r="B37" s="5">
        <v>231616</v>
      </c>
      <c r="C37" s="5">
        <v>335306</v>
      </c>
      <c r="D37" s="5">
        <v>125524</v>
      </c>
      <c r="E37" s="5">
        <v>72666</v>
      </c>
      <c r="F37" s="5">
        <v>155709</v>
      </c>
      <c r="G37" s="5">
        <v>128432</v>
      </c>
      <c r="H37" s="5">
        <v>1279069</v>
      </c>
      <c r="I37" s="5">
        <v>1253992</v>
      </c>
      <c r="J37" s="5">
        <v>1203388</v>
      </c>
      <c r="K37" s="5">
        <v>2385254</v>
      </c>
      <c r="L37" s="5">
        <v>3003887</v>
      </c>
      <c r="M37" s="5">
        <v>3481304</v>
      </c>
      <c r="N37" s="5">
        <v>5330951</v>
      </c>
      <c r="O37" s="5">
        <v>2478290</v>
      </c>
      <c r="P37" s="5">
        <v>3099509</v>
      </c>
      <c r="Q37" s="5">
        <v>2345645</v>
      </c>
      <c r="R37" s="5">
        <v>2958893</v>
      </c>
      <c r="S37" s="5">
        <v>1703930</v>
      </c>
      <c r="T37" s="5">
        <v>5157084</v>
      </c>
      <c r="U37" s="5">
        <v>4775272</v>
      </c>
      <c r="V37" s="5">
        <v>3402181</v>
      </c>
      <c r="W37" s="5">
        <v>5751484</v>
      </c>
      <c r="X37" s="5">
        <v>4636828</v>
      </c>
      <c r="Y37" s="5">
        <v>6491440</v>
      </c>
      <c r="Z37" s="7">
        <f t="shared" si="0"/>
        <v>61787654</v>
      </c>
    </row>
    <row r="38" spans="1:26" x14ac:dyDescent="0.45">
      <c r="A38" s="4" t="s">
        <v>118</v>
      </c>
      <c r="B38" s="5">
        <v>3982296</v>
      </c>
      <c r="C38" s="5">
        <v>2551247</v>
      </c>
      <c r="D38" s="5">
        <v>6236269</v>
      </c>
      <c r="E38" s="5">
        <v>3832919</v>
      </c>
      <c r="F38" s="5">
        <v>5619863</v>
      </c>
      <c r="G38" s="5">
        <v>10758422</v>
      </c>
      <c r="H38" s="5">
        <v>13218762</v>
      </c>
      <c r="I38" s="5">
        <v>13982891</v>
      </c>
      <c r="J38" s="5">
        <v>20727729</v>
      </c>
      <c r="K38" s="5">
        <v>19613940</v>
      </c>
      <c r="L38" s="5">
        <v>12025047</v>
      </c>
      <c r="M38" s="5">
        <v>9753730</v>
      </c>
      <c r="N38" s="5">
        <v>10774465</v>
      </c>
      <c r="O38" s="5">
        <v>13080435</v>
      </c>
      <c r="P38" s="5">
        <v>11783265</v>
      </c>
      <c r="Q38" s="5">
        <v>14773712</v>
      </c>
      <c r="R38" s="5">
        <v>19209488</v>
      </c>
      <c r="S38" s="5">
        <v>9898944</v>
      </c>
      <c r="T38" s="5">
        <v>8168199</v>
      </c>
      <c r="U38" s="5">
        <v>10422160</v>
      </c>
      <c r="V38" s="5">
        <v>9815936</v>
      </c>
      <c r="W38" s="5">
        <v>6929410</v>
      </c>
      <c r="X38" s="5">
        <v>4320563</v>
      </c>
      <c r="Y38" s="5">
        <v>5946641</v>
      </c>
      <c r="Z38" s="7">
        <f t="shared" ref="Z38:Z69" si="1">SUM(B38:Y38)</f>
        <v>247426333</v>
      </c>
    </row>
    <row r="39" spans="1:26" x14ac:dyDescent="0.45">
      <c r="A39" s="4" t="s">
        <v>160</v>
      </c>
      <c r="B39" s="5">
        <v>674843</v>
      </c>
      <c r="C39" s="5">
        <v>1949199</v>
      </c>
      <c r="D39" s="5">
        <v>1925241</v>
      </c>
      <c r="E39" s="5">
        <v>1081376</v>
      </c>
      <c r="F39" s="5">
        <v>2502873</v>
      </c>
      <c r="G39" s="5">
        <v>2669713</v>
      </c>
      <c r="H39" s="5">
        <v>3380453</v>
      </c>
      <c r="I39" s="5">
        <v>3037302</v>
      </c>
      <c r="J39" s="5">
        <v>846977</v>
      </c>
      <c r="K39" s="5">
        <v>1478258</v>
      </c>
      <c r="L39" s="5">
        <v>1842679</v>
      </c>
      <c r="M39" s="5">
        <v>3994103</v>
      </c>
      <c r="N39" s="5">
        <v>2397223</v>
      </c>
      <c r="O39" s="5">
        <v>2742890</v>
      </c>
      <c r="P39" s="5">
        <v>3763592</v>
      </c>
      <c r="Q39" s="5">
        <v>3688374</v>
      </c>
      <c r="R39" s="5">
        <v>2685151</v>
      </c>
      <c r="S39" s="5">
        <v>4101759</v>
      </c>
      <c r="T39" s="5">
        <v>4751656</v>
      </c>
      <c r="U39" s="5">
        <v>3969540</v>
      </c>
      <c r="V39" s="5">
        <v>12163943</v>
      </c>
      <c r="W39" s="5">
        <v>12480932</v>
      </c>
      <c r="X39" s="5">
        <v>14209168</v>
      </c>
      <c r="Y39" s="5">
        <v>5516184</v>
      </c>
      <c r="Z39" s="7">
        <f t="shared" si="1"/>
        <v>97853429</v>
      </c>
    </row>
    <row r="40" spans="1:26" x14ac:dyDescent="0.45">
      <c r="A40" s="4" t="s">
        <v>111</v>
      </c>
      <c r="B40" s="5">
        <v>4957810</v>
      </c>
      <c r="C40" s="5">
        <v>3836402</v>
      </c>
      <c r="D40" s="5">
        <v>4138413</v>
      </c>
      <c r="E40" s="5">
        <v>4434227</v>
      </c>
      <c r="F40" s="5">
        <v>4724041</v>
      </c>
      <c r="G40" s="5">
        <v>7509012</v>
      </c>
      <c r="H40" s="5">
        <v>4888777</v>
      </c>
      <c r="I40" s="5">
        <v>3536637</v>
      </c>
      <c r="J40" s="5">
        <v>2799433</v>
      </c>
      <c r="K40" s="5">
        <v>5661342</v>
      </c>
      <c r="L40" s="5">
        <v>6902849</v>
      </c>
      <c r="M40" s="5">
        <v>5343952</v>
      </c>
      <c r="N40" s="5">
        <v>4181712</v>
      </c>
      <c r="O40" s="5">
        <v>1936619</v>
      </c>
      <c r="P40" s="5">
        <v>2552096</v>
      </c>
      <c r="Q40" s="5">
        <v>2852375</v>
      </c>
      <c r="R40" s="5">
        <v>5337435</v>
      </c>
      <c r="S40" s="5">
        <v>5996472</v>
      </c>
      <c r="T40" s="5">
        <v>5233310</v>
      </c>
      <c r="U40" s="5">
        <v>3168029</v>
      </c>
      <c r="V40" s="5">
        <v>4371355</v>
      </c>
      <c r="W40" s="5">
        <v>9467545</v>
      </c>
      <c r="X40" s="5">
        <v>5814067</v>
      </c>
      <c r="Y40" s="5">
        <v>3695991</v>
      </c>
      <c r="Z40" s="7">
        <f t="shared" si="1"/>
        <v>113339901</v>
      </c>
    </row>
    <row r="41" spans="1:26" x14ac:dyDescent="0.45">
      <c r="A41" s="4" t="s">
        <v>212</v>
      </c>
      <c r="B41" s="5">
        <v>468909</v>
      </c>
      <c r="C41" s="5">
        <v>258136</v>
      </c>
      <c r="D41" s="5">
        <v>526262</v>
      </c>
      <c r="E41" s="5">
        <v>1333931</v>
      </c>
      <c r="F41" s="5">
        <v>5093306</v>
      </c>
      <c r="G41" s="5">
        <v>9596370</v>
      </c>
      <c r="H41" s="5">
        <v>7486593</v>
      </c>
      <c r="I41" s="5">
        <v>13611683</v>
      </c>
      <c r="J41" s="5">
        <v>9639312</v>
      </c>
      <c r="K41" s="5">
        <v>12265362</v>
      </c>
      <c r="L41" s="5">
        <v>10306929</v>
      </c>
      <c r="M41" s="5">
        <v>9178290</v>
      </c>
      <c r="N41" s="5">
        <v>7551657</v>
      </c>
      <c r="O41" s="5">
        <v>8081525</v>
      </c>
      <c r="P41" s="5">
        <v>6205158</v>
      </c>
      <c r="Q41" s="5">
        <v>7577996</v>
      </c>
      <c r="R41" s="5">
        <v>7014556</v>
      </c>
      <c r="S41" s="5">
        <v>7504113</v>
      </c>
      <c r="T41" s="5">
        <v>3679466</v>
      </c>
      <c r="U41" s="5">
        <v>2434327</v>
      </c>
      <c r="V41" s="5">
        <v>5756880</v>
      </c>
      <c r="W41" s="5">
        <v>415468</v>
      </c>
      <c r="X41" s="5">
        <v>1084359</v>
      </c>
      <c r="Y41" s="5">
        <v>3327620</v>
      </c>
      <c r="Z41" s="7">
        <f t="shared" si="1"/>
        <v>140398208</v>
      </c>
    </row>
    <row r="42" spans="1:26" x14ac:dyDescent="0.45">
      <c r="A42" s="4" t="s">
        <v>137</v>
      </c>
      <c r="B42" s="5">
        <v>2091111</v>
      </c>
      <c r="C42" s="5">
        <v>3371845</v>
      </c>
      <c r="D42" s="5">
        <v>2429995</v>
      </c>
      <c r="E42" s="5">
        <v>674730</v>
      </c>
      <c r="F42" s="5">
        <v>3478703</v>
      </c>
      <c r="G42" s="5">
        <v>1255081</v>
      </c>
      <c r="H42" s="5">
        <v>2175877</v>
      </c>
      <c r="I42" s="5">
        <v>1225064</v>
      </c>
      <c r="J42" s="5">
        <v>1097246</v>
      </c>
      <c r="K42" s="5">
        <v>1026139</v>
      </c>
      <c r="L42" s="5">
        <v>1019962</v>
      </c>
      <c r="M42" s="5">
        <v>236993</v>
      </c>
      <c r="N42" s="5">
        <v>19792</v>
      </c>
      <c r="O42" s="5">
        <v>1194027</v>
      </c>
      <c r="P42" s="5">
        <v>833554</v>
      </c>
      <c r="Q42" s="5">
        <v>2823182</v>
      </c>
      <c r="R42" s="5">
        <v>1480355</v>
      </c>
      <c r="S42" s="5">
        <v>1519475</v>
      </c>
      <c r="T42" s="5">
        <v>4345881</v>
      </c>
      <c r="U42" s="5">
        <v>3264456</v>
      </c>
      <c r="V42" s="5">
        <v>1649359</v>
      </c>
      <c r="W42" s="5">
        <v>1637766</v>
      </c>
      <c r="X42" s="5">
        <v>2091999</v>
      </c>
      <c r="Y42" s="5">
        <v>3147486</v>
      </c>
      <c r="Z42" s="7">
        <f t="shared" si="1"/>
        <v>44090078</v>
      </c>
    </row>
    <row r="43" spans="1:26" x14ac:dyDescent="0.45">
      <c r="A43" s="4" t="s">
        <v>210</v>
      </c>
      <c r="B43" s="5">
        <v>3475561</v>
      </c>
      <c r="C43" s="5">
        <v>5240846</v>
      </c>
      <c r="D43" s="5">
        <v>7630961</v>
      </c>
      <c r="E43" s="5">
        <v>5141336</v>
      </c>
      <c r="F43" s="5">
        <v>7268271</v>
      </c>
      <c r="G43" s="5">
        <v>6945730</v>
      </c>
      <c r="H43" s="5">
        <v>6422069</v>
      </c>
      <c r="I43" s="5">
        <v>2545431</v>
      </c>
      <c r="J43" s="5">
        <v>6226596</v>
      </c>
      <c r="K43" s="5">
        <v>3481948</v>
      </c>
      <c r="L43" s="5">
        <v>1862912</v>
      </c>
      <c r="M43" s="5">
        <v>11751458</v>
      </c>
      <c r="N43" s="5">
        <v>1849977</v>
      </c>
      <c r="O43" s="5">
        <v>4299337</v>
      </c>
      <c r="P43" s="5">
        <v>4421021</v>
      </c>
      <c r="Q43" s="5">
        <v>2903078</v>
      </c>
      <c r="R43" s="5">
        <v>3781420</v>
      </c>
      <c r="S43" s="5">
        <v>1195216</v>
      </c>
      <c r="T43" s="5">
        <v>1142447</v>
      </c>
      <c r="U43" s="5">
        <v>1825623</v>
      </c>
      <c r="V43" s="5">
        <v>5178810</v>
      </c>
      <c r="W43" s="5">
        <v>5337078</v>
      </c>
      <c r="X43" s="5">
        <v>4328752</v>
      </c>
      <c r="Y43" s="5">
        <v>2950597</v>
      </c>
      <c r="Z43" s="7">
        <f t="shared" si="1"/>
        <v>107206475</v>
      </c>
    </row>
    <row r="44" spans="1:26" x14ac:dyDescent="0.45">
      <c r="A44" s="4" t="s">
        <v>154</v>
      </c>
      <c r="B44" s="5">
        <v>10123</v>
      </c>
      <c r="C44" s="6"/>
      <c r="D44" s="5">
        <v>10343</v>
      </c>
      <c r="E44" s="5">
        <v>61121</v>
      </c>
      <c r="F44" s="5">
        <v>56722</v>
      </c>
      <c r="G44" s="5">
        <v>19641</v>
      </c>
      <c r="H44" s="5">
        <v>217522</v>
      </c>
      <c r="I44" s="5">
        <v>27337</v>
      </c>
      <c r="J44" s="5">
        <v>11144</v>
      </c>
      <c r="K44" s="5">
        <v>341369</v>
      </c>
      <c r="L44" s="5">
        <v>282959</v>
      </c>
      <c r="M44" s="5">
        <v>13366</v>
      </c>
      <c r="N44" s="5">
        <v>694502</v>
      </c>
      <c r="O44" s="5">
        <v>117111</v>
      </c>
      <c r="P44" s="5">
        <v>694805</v>
      </c>
      <c r="Q44" s="5">
        <v>427707</v>
      </c>
      <c r="R44" s="5">
        <v>639967</v>
      </c>
      <c r="S44" s="5">
        <v>926711</v>
      </c>
      <c r="T44" s="5">
        <v>751331</v>
      </c>
      <c r="U44" s="5">
        <v>1057555</v>
      </c>
      <c r="V44" s="5">
        <v>2081644</v>
      </c>
      <c r="W44" s="5">
        <v>2448530</v>
      </c>
      <c r="X44" s="5">
        <v>748908</v>
      </c>
      <c r="Y44" s="5">
        <v>2819925</v>
      </c>
      <c r="Z44" s="7">
        <f t="shared" si="1"/>
        <v>14460343</v>
      </c>
    </row>
    <row r="45" spans="1:26" x14ac:dyDescent="0.45">
      <c r="A45" s="4" t="s">
        <v>147</v>
      </c>
      <c r="B45" s="5">
        <v>112978</v>
      </c>
      <c r="C45" s="6"/>
      <c r="D45" s="6"/>
      <c r="E45" s="5">
        <v>132900</v>
      </c>
      <c r="F45" s="5">
        <v>119420</v>
      </c>
      <c r="G45" s="5">
        <v>370954</v>
      </c>
      <c r="H45" s="5">
        <v>73278</v>
      </c>
      <c r="I45" s="5">
        <v>156501</v>
      </c>
      <c r="J45" s="5">
        <v>228700</v>
      </c>
      <c r="K45" s="5">
        <v>282903</v>
      </c>
      <c r="L45" s="5">
        <v>443635</v>
      </c>
      <c r="M45" s="5">
        <v>255950</v>
      </c>
      <c r="N45" s="5">
        <v>315897</v>
      </c>
      <c r="O45" s="5">
        <v>184573</v>
      </c>
      <c r="P45" s="5">
        <v>359297</v>
      </c>
      <c r="Q45" s="5">
        <v>1842277</v>
      </c>
      <c r="R45" s="5">
        <v>1450446</v>
      </c>
      <c r="S45" s="5">
        <v>3221251</v>
      </c>
      <c r="T45" s="5">
        <v>3199385</v>
      </c>
      <c r="U45" s="5">
        <v>4641855</v>
      </c>
      <c r="V45" s="5">
        <v>5396072</v>
      </c>
      <c r="W45" s="5">
        <v>3363103</v>
      </c>
      <c r="X45" s="5">
        <v>3591388</v>
      </c>
      <c r="Y45" s="5">
        <v>2604252</v>
      </c>
      <c r="Z45" s="7">
        <f t="shared" si="1"/>
        <v>32347015</v>
      </c>
    </row>
    <row r="46" spans="1:26" x14ac:dyDescent="0.45">
      <c r="A46" s="4" t="s">
        <v>157</v>
      </c>
      <c r="B46" s="5">
        <v>1420277</v>
      </c>
      <c r="C46" s="5">
        <v>2499748</v>
      </c>
      <c r="D46" s="5">
        <v>5246220</v>
      </c>
      <c r="E46" s="5">
        <v>3144551</v>
      </c>
      <c r="F46" s="5">
        <v>1405143</v>
      </c>
      <c r="G46" s="5">
        <v>1494559</v>
      </c>
      <c r="H46" s="5">
        <v>1300063</v>
      </c>
      <c r="I46" s="5">
        <v>477716</v>
      </c>
      <c r="J46" s="5">
        <v>907514</v>
      </c>
      <c r="K46" s="5">
        <v>639357</v>
      </c>
      <c r="L46" s="5">
        <v>282820</v>
      </c>
      <c r="M46" s="5">
        <v>2036628</v>
      </c>
      <c r="N46" s="5">
        <v>554697</v>
      </c>
      <c r="O46" s="5">
        <v>553332</v>
      </c>
      <c r="P46" s="5">
        <v>571885</v>
      </c>
      <c r="Q46" s="5">
        <v>180057</v>
      </c>
      <c r="R46" s="5">
        <v>1030769</v>
      </c>
      <c r="S46" s="5">
        <v>262706</v>
      </c>
      <c r="T46" s="5">
        <v>126811</v>
      </c>
      <c r="U46" s="5">
        <v>345543</v>
      </c>
      <c r="V46" s="5">
        <v>484978</v>
      </c>
      <c r="W46" s="5">
        <v>1694841</v>
      </c>
      <c r="X46" s="5">
        <v>2501817</v>
      </c>
      <c r="Y46" s="5">
        <v>2246617</v>
      </c>
      <c r="Z46" s="7">
        <f t="shared" si="1"/>
        <v>31408649</v>
      </c>
    </row>
    <row r="47" spans="1:26" x14ac:dyDescent="0.45">
      <c r="A47" s="4" t="s">
        <v>127</v>
      </c>
      <c r="B47" s="5">
        <v>1318886</v>
      </c>
      <c r="C47" s="5">
        <v>855372</v>
      </c>
      <c r="D47" s="5">
        <v>2189754</v>
      </c>
      <c r="E47" s="5">
        <v>2673285</v>
      </c>
      <c r="F47" s="5">
        <v>2538045</v>
      </c>
      <c r="G47" s="5">
        <v>5555938</v>
      </c>
      <c r="H47" s="5">
        <v>3446139</v>
      </c>
      <c r="I47" s="5">
        <v>1609284</v>
      </c>
      <c r="J47" s="5">
        <v>3303084</v>
      </c>
      <c r="K47" s="5">
        <v>5160421</v>
      </c>
      <c r="L47" s="5">
        <v>3742961</v>
      </c>
      <c r="M47" s="5">
        <v>8884544</v>
      </c>
      <c r="N47" s="5">
        <v>10815048</v>
      </c>
      <c r="O47" s="5">
        <v>8346885</v>
      </c>
      <c r="P47" s="5">
        <v>5390516</v>
      </c>
      <c r="Q47" s="5">
        <v>6358245</v>
      </c>
      <c r="R47" s="5">
        <v>7569735</v>
      </c>
      <c r="S47" s="5">
        <v>8035662</v>
      </c>
      <c r="T47" s="5">
        <v>11670667</v>
      </c>
      <c r="U47" s="5">
        <v>7204761</v>
      </c>
      <c r="V47" s="5">
        <v>9443827</v>
      </c>
      <c r="W47" s="5">
        <v>4248134</v>
      </c>
      <c r="X47" s="5">
        <v>3202951</v>
      </c>
      <c r="Y47" s="5">
        <v>1654936</v>
      </c>
      <c r="Z47" s="7">
        <f t="shared" si="1"/>
        <v>125219080</v>
      </c>
    </row>
    <row r="48" spans="1:26" x14ac:dyDescent="0.45">
      <c r="A48" s="4" t="s">
        <v>78</v>
      </c>
      <c r="B48" s="5">
        <v>5801374</v>
      </c>
      <c r="C48" s="5">
        <v>7262752</v>
      </c>
      <c r="D48" s="5">
        <v>8719218</v>
      </c>
      <c r="E48" s="5">
        <v>3512580</v>
      </c>
      <c r="F48" s="5">
        <v>4910083</v>
      </c>
      <c r="G48" s="5">
        <v>19072582</v>
      </c>
      <c r="H48" s="5">
        <v>13554775</v>
      </c>
      <c r="I48" s="5">
        <v>3976797</v>
      </c>
      <c r="J48" s="5">
        <v>3718553</v>
      </c>
      <c r="K48" s="5">
        <v>2123414</v>
      </c>
      <c r="L48" s="5">
        <v>2393904</v>
      </c>
      <c r="M48" s="5">
        <v>4722385</v>
      </c>
      <c r="N48" s="5">
        <v>2944924</v>
      </c>
      <c r="O48" s="5">
        <v>2303409</v>
      </c>
      <c r="P48" s="5">
        <v>1381342</v>
      </c>
      <c r="Q48" s="5">
        <v>3325556</v>
      </c>
      <c r="R48" s="5">
        <v>3489867</v>
      </c>
      <c r="S48" s="5">
        <v>1654375</v>
      </c>
      <c r="T48" s="5">
        <v>253477</v>
      </c>
      <c r="U48" s="5">
        <v>551356</v>
      </c>
      <c r="V48" s="5">
        <v>2560251</v>
      </c>
      <c r="W48" s="5">
        <v>921128</v>
      </c>
      <c r="X48" s="5">
        <v>1745029</v>
      </c>
      <c r="Y48" s="5">
        <v>1653943</v>
      </c>
      <c r="Z48" s="7">
        <f t="shared" si="1"/>
        <v>102553074</v>
      </c>
    </row>
    <row r="49" spans="1:26" x14ac:dyDescent="0.45">
      <c r="A49" s="4" t="s">
        <v>49</v>
      </c>
      <c r="B49" s="5">
        <v>2793286</v>
      </c>
      <c r="C49" s="5">
        <v>2047164</v>
      </c>
      <c r="D49" s="5">
        <v>2357121</v>
      </c>
      <c r="E49" s="5">
        <v>2645037</v>
      </c>
      <c r="F49" s="5">
        <v>1004313</v>
      </c>
      <c r="G49" s="5">
        <v>4623285</v>
      </c>
      <c r="H49" s="5">
        <v>4283279</v>
      </c>
      <c r="I49" s="5">
        <v>1573525</v>
      </c>
      <c r="J49" s="5">
        <v>2082181</v>
      </c>
      <c r="K49" s="5">
        <v>799034</v>
      </c>
      <c r="L49" s="5">
        <v>1153262</v>
      </c>
      <c r="M49" s="5">
        <v>1784727</v>
      </c>
      <c r="N49" s="5">
        <v>2291844</v>
      </c>
      <c r="O49" s="5">
        <v>1204527</v>
      </c>
      <c r="P49" s="5">
        <v>816434</v>
      </c>
      <c r="Q49" s="5">
        <v>2119441</v>
      </c>
      <c r="R49" s="5">
        <v>3257296</v>
      </c>
      <c r="S49" s="5">
        <v>1775587</v>
      </c>
      <c r="T49" s="5">
        <v>2140263</v>
      </c>
      <c r="U49" s="5">
        <v>1846558</v>
      </c>
      <c r="V49" s="5">
        <v>1704930</v>
      </c>
      <c r="W49" s="5">
        <v>2135552</v>
      </c>
      <c r="X49" s="5">
        <v>1414968</v>
      </c>
      <c r="Y49" s="5">
        <v>1611689</v>
      </c>
      <c r="Z49" s="7">
        <f t="shared" si="1"/>
        <v>49465303</v>
      </c>
    </row>
    <row r="50" spans="1:26" x14ac:dyDescent="0.45">
      <c r="A50" s="4" t="s">
        <v>79</v>
      </c>
      <c r="B50" s="5">
        <v>5730670</v>
      </c>
      <c r="C50" s="5">
        <v>7117070</v>
      </c>
      <c r="D50" s="5">
        <v>8546693</v>
      </c>
      <c r="E50" s="5">
        <v>3351184</v>
      </c>
      <c r="F50" s="5">
        <v>4525390</v>
      </c>
      <c r="G50" s="5">
        <v>18892570</v>
      </c>
      <c r="H50" s="5">
        <v>13162110</v>
      </c>
      <c r="I50" s="5">
        <v>3544928</v>
      </c>
      <c r="J50" s="5">
        <v>3570039</v>
      </c>
      <c r="K50" s="5">
        <v>1264201</v>
      </c>
      <c r="L50" s="5">
        <v>1732129</v>
      </c>
      <c r="M50" s="5">
        <v>3622966</v>
      </c>
      <c r="N50" s="5">
        <v>2864798</v>
      </c>
      <c r="O50" s="5">
        <v>2103867</v>
      </c>
      <c r="P50" s="5">
        <v>1270554</v>
      </c>
      <c r="Q50" s="5">
        <v>2864192</v>
      </c>
      <c r="R50" s="5">
        <v>3013417</v>
      </c>
      <c r="S50" s="5">
        <v>1551852</v>
      </c>
      <c r="T50" s="5">
        <v>166970</v>
      </c>
      <c r="U50" s="5">
        <v>259277</v>
      </c>
      <c r="V50" s="5">
        <v>2478476</v>
      </c>
      <c r="W50" s="5">
        <v>775409</v>
      </c>
      <c r="X50" s="5">
        <v>1623669</v>
      </c>
      <c r="Y50" s="5">
        <v>1432325</v>
      </c>
      <c r="Z50" s="7">
        <f t="shared" si="1"/>
        <v>95464756</v>
      </c>
    </row>
    <row r="51" spans="1:26" x14ac:dyDescent="0.45">
      <c r="A51" s="4" t="s">
        <v>174</v>
      </c>
      <c r="B51" s="5">
        <v>231637</v>
      </c>
      <c r="C51" s="5">
        <v>531277</v>
      </c>
      <c r="D51" s="5">
        <v>388488</v>
      </c>
      <c r="E51" s="5">
        <v>721006</v>
      </c>
      <c r="F51" s="5">
        <v>945366</v>
      </c>
      <c r="G51" s="5">
        <v>1664531</v>
      </c>
      <c r="H51" s="5">
        <v>893686</v>
      </c>
      <c r="I51" s="5">
        <v>489029</v>
      </c>
      <c r="J51" s="5">
        <v>661226</v>
      </c>
      <c r="K51" s="5">
        <v>918174</v>
      </c>
      <c r="L51" s="5">
        <v>830971</v>
      </c>
      <c r="M51" s="5">
        <v>1025160</v>
      </c>
      <c r="N51" s="5">
        <v>1896234</v>
      </c>
      <c r="O51" s="5">
        <v>796557</v>
      </c>
      <c r="P51" s="5">
        <v>578225</v>
      </c>
      <c r="Q51" s="5">
        <v>715438</v>
      </c>
      <c r="R51" s="5">
        <v>411076</v>
      </c>
      <c r="S51" s="5">
        <v>764699</v>
      </c>
      <c r="T51" s="5">
        <v>936193</v>
      </c>
      <c r="U51" s="5">
        <v>707100</v>
      </c>
      <c r="V51" s="5">
        <v>2176029</v>
      </c>
      <c r="W51" s="5">
        <v>1874860</v>
      </c>
      <c r="X51" s="5">
        <v>2034905</v>
      </c>
      <c r="Y51" s="5">
        <v>1357266</v>
      </c>
      <c r="Z51" s="7">
        <f t="shared" si="1"/>
        <v>23549133</v>
      </c>
    </row>
    <row r="52" spans="1:26" x14ac:dyDescent="0.45">
      <c r="A52" s="4" t="s">
        <v>121</v>
      </c>
      <c r="B52" s="5">
        <v>1564621</v>
      </c>
      <c r="C52" s="5">
        <v>1468261</v>
      </c>
      <c r="D52" s="5">
        <v>2562968</v>
      </c>
      <c r="E52" s="5">
        <v>3629880</v>
      </c>
      <c r="F52" s="5">
        <v>1114259</v>
      </c>
      <c r="G52" s="5">
        <v>588474</v>
      </c>
      <c r="H52" s="5">
        <v>395304</v>
      </c>
      <c r="I52" s="5">
        <v>133594</v>
      </c>
      <c r="J52" s="5">
        <v>79294</v>
      </c>
      <c r="K52" s="5">
        <v>1240998</v>
      </c>
      <c r="L52" s="5">
        <v>224420</v>
      </c>
      <c r="M52" s="5">
        <v>684330</v>
      </c>
      <c r="N52" s="5">
        <v>247658</v>
      </c>
      <c r="O52" s="5">
        <v>403020</v>
      </c>
      <c r="P52" s="5">
        <v>112374</v>
      </c>
      <c r="Q52" s="5">
        <v>1193435</v>
      </c>
      <c r="R52" s="5">
        <v>589659</v>
      </c>
      <c r="S52" s="5">
        <v>1530671</v>
      </c>
      <c r="T52" s="5">
        <v>1196761</v>
      </c>
      <c r="U52" s="5">
        <v>4122649</v>
      </c>
      <c r="V52" s="5">
        <v>1268511</v>
      </c>
      <c r="W52" s="5">
        <v>5859977</v>
      </c>
      <c r="X52" s="5">
        <v>2367547</v>
      </c>
      <c r="Y52" s="5">
        <v>1332090</v>
      </c>
      <c r="Z52" s="7">
        <f t="shared" si="1"/>
        <v>33910755</v>
      </c>
    </row>
    <row r="53" spans="1:26" x14ac:dyDescent="0.45">
      <c r="A53" s="4" t="s">
        <v>54</v>
      </c>
      <c r="B53" s="5">
        <v>2780961</v>
      </c>
      <c r="C53" s="5">
        <v>1841989</v>
      </c>
      <c r="D53" s="5">
        <v>2300885</v>
      </c>
      <c r="E53" s="5">
        <v>2546514</v>
      </c>
      <c r="F53" s="5">
        <v>968669</v>
      </c>
      <c r="G53" s="5">
        <v>4161894</v>
      </c>
      <c r="H53" s="5">
        <v>3963142</v>
      </c>
      <c r="I53" s="5">
        <v>1271845</v>
      </c>
      <c r="J53" s="5">
        <v>889740</v>
      </c>
      <c r="K53" s="5">
        <v>724867</v>
      </c>
      <c r="L53" s="5">
        <v>966432</v>
      </c>
      <c r="M53" s="5">
        <v>1597004</v>
      </c>
      <c r="N53" s="5">
        <v>774324</v>
      </c>
      <c r="O53" s="5">
        <v>941902</v>
      </c>
      <c r="P53" s="5">
        <v>521993</v>
      </c>
      <c r="Q53" s="5">
        <v>2059153</v>
      </c>
      <c r="R53" s="5">
        <v>2551760</v>
      </c>
      <c r="S53" s="5">
        <v>1046655</v>
      </c>
      <c r="T53" s="5">
        <v>635326</v>
      </c>
      <c r="U53" s="5">
        <v>1553412</v>
      </c>
      <c r="V53" s="5">
        <v>1147034</v>
      </c>
      <c r="W53" s="5">
        <v>1667019</v>
      </c>
      <c r="X53" s="5">
        <v>1099124</v>
      </c>
      <c r="Y53" s="5">
        <v>1213395</v>
      </c>
      <c r="Z53" s="7">
        <f t="shared" si="1"/>
        <v>39225039</v>
      </c>
    </row>
    <row r="54" spans="1:26" x14ac:dyDescent="0.45">
      <c r="A54" s="4" t="s">
        <v>129</v>
      </c>
      <c r="B54" s="5">
        <v>911017</v>
      </c>
      <c r="C54" s="5">
        <v>944461</v>
      </c>
      <c r="D54" s="5">
        <v>491944</v>
      </c>
      <c r="E54" s="5">
        <v>1088036</v>
      </c>
      <c r="F54" s="5">
        <v>992160</v>
      </c>
      <c r="G54" s="5">
        <v>363902</v>
      </c>
      <c r="H54" s="5">
        <v>274040</v>
      </c>
      <c r="I54" s="5">
        <v>685435</v>
      </c>
      <c r="J54" s="5">
        <v>160651</v>
      </c>
      <c r="K54" s="5">
        <v>637105</v>
      </c>
      <c r="L54" s="5">
        <v>338340</v>
      </c>
      <c r="M54" s="5">
        <v>963215</v>
      </c>
      <c r="N54" s="5">
        <v>639802</v>
      </c>
      <c r="O54" s="5">
        <v>267987</v>
      </c>
      <c r="P54" s="5">
        <v>575637</v>
      </c>
      <c r="Q54" s="5">
        <v>525592</v>
      </c>
      <c r="R54" s="5">
        <v>952264</v>
      </c>
      <c r="S54" s="5">
        <v>1110278</v>
      </c>
      <c r="T54" s="5">
        <v>2463891</v>
      </c>
      <c r="U54" s="5">
        <v>1028399</v>
      </c>
      <c r="V54" s="5">
        <v>1984410</v>
      </c>
      <c r="W54" s="5">
        <v>3194212</v>
      </c>
      <c r="X54" s="5">
        <v>816980</v>
      </c>
      <c r="Y54" s="5">
        <v>1039012</v>
      </c>
      <c r="Z54" s="7">
        <f t="shared" si="1"/>
        <v>22448770</v>
      </c>
    </row>
    <row r="55" spans="1:26" x14ac:dyDescent="0.45">
      <c r="A55" s="4" t="s">
        <v>144</v>
      </c>
      <c r="B55" s="5">
        <v>57463</v>
      </c>
      <c r="C55" s="5">
        <v>598518</v>
      </c>
      <c r="D55" s="5">
        <v>526965</v>
      </c>
      <c r="E55" s="5">
        <v>106300</v>
      </c>
      <c r="F55" s="5">
        <v>110054</v>
      </c>
      <c r="G55" s="5">
        <v>207819</v>
      </c>
      <c r="H55" s="5">
        <v>861157</v>
      </c>
      <c r="I55" s="5">
        <v>93675</v>
      </c>
      <c r="J55" s="5">
        <v>281212</v>
      </c>
      <c r="K55" s="5">
        <v>6161</v>
      </c>
      <c r="L55" s="5">
        <v>81695</v>
      </c>
      <c r="M55" s="5">
        <v>136354</v>
      </c>
      <c r="N55" s="5">
        <v>286569</v>
      </c>
      <c r="O55" s="5">
        <v>250720</v>
      </c>
      <c r="P55" s="5">
        <v>553987</v>
      </c>
      <c r="Q55" s="5">
        <v>6749</v>
      </c>
      <c r="R55" s="5">
        <v>86857</v>
      </c>
      <c r="S55" s="5">
        <v>614167</v>
      </c>
      <c r="T55" s="5">
        <v>160498</v>
      </c>
      <c r="U55" s="5">
        <v>175240</v>
      </c>
      <c r="V55" s="5">
        <v>45318</v>
      </c>
      <c r="W55" s="5">
        <v>288271</v>
      </c>
      <c r="X55" s="5">
        <v>1014434</v>
      </c>
      <c r="Y55" s="5">
        <v>1013884</v>
      </c>
      <c r="Z55" s="7">
        <f t="shared" si="1"/>
        <v>7564067</v>
      </c>
    </row>
    <row r="56" spans="1:26" x14ac:dyDescent="0.45">
      <c r="A56" s="4" t="s">
        <v>113</v>
      </c>
      <c r="B56" s="5">
        <v>978922</v>
      </c>
      <c r="C56" s="5">
        <v>345451</v>
      </c>
      <c r="D56" s="5">
        <v>628195</v>
      </c>
      <c r="E56" s="5">
        <v>511589</v>
      </c>
      <c r="F56" s="5">
        <v>273853</v>
      </c>
      <c r="G56" s="5">
        <v>144225</v>
      </c>
      <c r="H56" s="5">
        <v>244386</v>
      </c>
      <c r="I56" s="5">
        <v>105594</v>
      </c>
      <c r="J56" s="5">
        <v>295222</v>
      </c>
      <c r="K56" s="5">
        <v>93083</v>
      </c>
      <c r="L56" s="5">
        <v>125627</v>
      </c>
      <c r="M56" s="5">
        <v>297280</v>
      </c>
      <c r="N56" s="6"/>
      <c r="O56" s="5">
        <v>69753</v>
      </c>
      <c r="P56" s="5">
        <v>331839</v>
      </c>
      <c r="Q56" s="5">
        <v>466359</v>
      </c>
      <c r="R56" s="5">
        <v>302532</v>
      </c>
      <c r="S56" s="5">
        <v>1479449</v>
      </c>
      <c r="T56" s="5">
        <v>284974</v>
      </c>
      <c r="U56" s="5">
        <v>551658</v>
      </c>
      <c r="V56" s="5">
        <v>713088</v>
      </c>
      <c r="W56" s="5">
        <v>454484</v>
      </c>
      <c r="X56" s="5">
        <v>594355</v>
      </c>
      <c r="Y56" s="5">
        <v>794735</v>
      </c>
      <c r="Z56" s="7">
        <f t="shared" si="1"/>
        <v>10086653</v>
      </c>
    </row>
    <row r="57" spans="1:26" x14ac:dyDescent="0.45">
      <c r="A57" s="4" t="s">
        <v>188</v>
      </c>
      <c r="B57" s="5">
        <v>99708</v>
      </c>
      <c r="C57" s="5">
        <v>11904</v>
      </c>
      <c r="D57" s="5">
        <v>68445</v>
      </c>
      <c r="E57" s="5">
        <v>102865</v>
      </c>
      <c r="F57" s="5">
        <v>156496</v>
      </c>
      <c r="G57" s="5">
        <v>299044</v>
      </c>
      <c r="H57" s="5">
        <v>9043</v>
      </c>
      <c r="I57" s="5">
        <v>12000</v>
      </c>
      <c r="J57" s="5">
        <v>209487</v>
      </c>
      <c r="K57" s="5">
        <v>441253</v>
      </c>
      <c r="L57" s="5">
        <v>67949</v>
      </c>
      <c r="M57" s="5">
        <v>37949</v>
      </c>
      <c r="N57" s="5">
        <v>1562820</v>
      </c>
      <c r="O57" s="5">
        <v>38835</v>
      </c>
      <c r="P57" s="5">
        <v>39900</v>
      </c>
      <c r="Q57" s="5">
        <v>293175</v>
      </c>
      <c r="R57" s="5">
        <v>117560</v>
      </c>
      <c r="S57" s="5">
        <v>640361</v>
      </c>
      <c r="T57" s="5">
        <v>428800</v>
      </c>
      <c r="U57" s="5">
        <v>47913</v>
      </c>
      <c r="V57" s="5">
        <v>455508</v>
      </c>
      <c r="W57" s="5">
        <v>745021</v>
      </c>
      <c r="X57" s="5">
        <v>984112</v>
      </c>
      <c r="Y57" s="5">
        <v>781699</v>
      </c>
      <c r="Z57" s="7">
        <f t="shared" si="1"/>
        <v>7651847</v>
      </c>
    </row>
    <row r="58" spans="1:26" x14ac:dyDescent="0.45">
      <c r="A58" s="4" t="s">
        <v>46</v>
      </c>
      <c r="B58" s="5">
        <v>465748</v>
      </c>
      <c r="C58" s="5">
        <v>633880</v>
      </c>
      <c r="D58" s="5">
        <v>1253657</v>
      </c>
      <c r="E58" s="5">
        <v>556401</v>
      </c>
      <c r="F58" s="5">
        <v>649885</v>
      </c>
      <c r="G58" s="5">
        <v>837659</v>
      </c>
      <c r="H58" s="5">
        <v>169930</v>
      </c>
      <c r="I58" s="5">
        <v>451542</v>
      </c>
      <c r="J58" s="5">
        <v>327571</v>
      </c>
      <c r="K58" s="5">
        <v>711344</v>
      </c>
      <c r="L58" s="5">
        <v>633368</v>
      </c>
      <c r="M58" s="5">
        <v>318744</v>
      </c>
      <c r="N58" s="5">
        <v>181096</v>
      </c>
      <c r="O58" s="5">
        <v>170545</v>
      </c>
      <c r="P58" s="5">
        <v>130192</v>
      </c>
      <c r="Q58" s="5">
        <v>526000</v>
      </c>
      <c r="R58" s="5">
        <v>728658</v>
      </c>
      <c r="S58" s="5">
        <v>434379</v>
      </c>
      <c r="T58" s="5">
        <v>275933</v>
      </c>
      <c r="U58" s="5">
        <v>732691</v>
      </c>
      <c r="V58" s="5">
        <v>535001</v>
      </c>
      <c r="W58" s="5">
        <v>368969</v>
      </c>
      <c r="X58" s="5">
        <v>1544664</v>
      </c>
      <c r="Y58" s="5">
        <v>739117</v>
      </c>
      <c r="Z58" s="7">
        <f t="shared" si="1"/>
        <v>13376974</v>
      </c>
    </row>
    <row r="59" spans="1:26" x14ac:dyDescent="0.45">
      <c r="A59" s="4" t="s">
        <v>162</v>
      </c>
      <c r="B59" s="5">
        <v>6636</v>
      </c>
      <c r="C59" s="5">
        <v>3501</v>
      </c>
      <c r="D59" s="5">
        <v>157650</v>
      </c>
      <c r="E59" s="5">
        <v>182100</v>
      </c>
      <c r="F59" s="6"/>
      <c r="G59" s="5">
        <v>246610</v>
      </c>
      <c r="H59" s="5">
        <v>4500</v>
      </c>
      <c r="I59" s="5">
        <v>268005</v>
      </c>
      <c r="J59" s="5">
        <v>366621</v>
      </c>
      <c r="K59" s="5">
        <v>324785</v>
      </c>
      <c r="L59" s="5">
        <v>482100</v>
      </c>
      <c r="M59" s="5">
        <v>158650</v>
      </c>
      <c r="N59" s="5">
        <v>512166</v>
      </c>
      <c r="O59" s="5">
        <v>645383</v>
      </c>
      <c r="P59" s="5">
        <v>480861</v>
      </c>
      <c r="Q59" s="5">
        <v>480885</v>
      </c>
      <c r="R59" s="5">
        <v>238871</v>
      </c>
      <c r="S59" s="5">
        <v>509110</v>
      </c>
      <c r="T59" s="5">
        <v>156489</v>
      </c>
      <c r="U59" s="5">
        <v>28863</v>
      </c>
      <c r="V59" s="5">
        <v>210721</v>
      </c>
      <c r="W59" s="5">
        <v>565435</v>
      </c>
      <c r="X59" s="5">
        <v>95088</v>
      </c>
      <c r="Y59" s="5">
        <v>681753</v>
      </c>
      <c r="Z59" s="7">
        <f t="shared" si="1"/>
        <v>6806783</v>
      </c>
    </row>
    <row r="60" spans="1:26" x14ac:dyDescent="0.45">
      <c r="A60" s="4" t="s">
        <v>119</v>
      </c>
      <c r="B60" s="5">
        <v>236861</v>
      </c>
      <c r="C60" s="5">
        <v>131810</v>
      </c>
      <c r="D60" s="5">
        <v>145443</v>
      </c>
      <c r="E60" s="5">
        <v>392281</v>
      </c>
      <c r="F60" s="5">
        <v>184100</v>
      </c>
      <c r="G60" s="5">
        <v>214540</v>
      </c>
      <c r="H60" s="6"/>
      <c r="I60" s="5">
        <v>59700</v>
      </c>
      <c r="J60" s="5">
        <v>168005</v>
      </c>
      <c r="K60" s="5">
        <v>83530</v>
      </c>
      <c r="L60" s="5">
        <v>213400</v>
      </c>
      <c r="M60" s="5">
        <v>286980</v>
      </c>
      <c r="N60" s="5">
        <v>225500</v>
      </c>
      <c r="O60" s="5">
        <v>94700</v>
      </c>
      <c r="P60" s="5">
        <v>161000</v>
      </c>
      <c r="Q60" s="6"/>
      <c r="R60" s="5">
        <v>247000</v>
      </c>
      <c r="S60" s="6"/>
      <c r="T60" s="6"/>
      <c r="U60" s="5">
        <v>602000</v>
      </c>
      <c r="V60" s="5">
        <v>5315</v>
      </c>
      <c r="W60" s="5">
        <v>305000</v>
      </c>
      <c r="X60" s="6"/>
      <c r="Y60" s="5">
        <v>641015</v>
      </c>
      <c r="Z60" s="7">
        <f t="shared" si="1"/>
        <v>4398180</v>
      </c>
    </row>
    <row r="61" spans="1:26" x14ac:dyDescent="0.45">
      <c r="A61" s="4" t="s">
        <v>47</v>
      </c>
      <c r="B61" s="5">
        <v>420398</v>
      </c>
      <c r="C61" s="5">
        <v>611546</v>
      </c>
      <c r="D61" s="5">
        <v>1242035</v>
      </c>
      <c r="E61" s="5">
        <v>549794</v>
      </c>
      <c r="F61" s="5">
        <v>493794</v>
      </c>
      <c r="G61" s="5">
        <v>751659</v>
      </c>
      <c r="H61" s="5">
        <v>83098</v>
      </c>
      <c r="I61" s="5">
        <v>135870</v>
      </c>
      <c r="J61" s="5">
        <v>264233</v>
      </c>
      <c r="K61" s="5">
        <v>670106</v>
      </c>
      <c r="L61" s="5">
        <v>398143</v>
      </c>
      <c r="M61" s="5">
        <v>83466</v>
      </c>
      <c r="N61" s="5">
        <v>160954</v>
      </c>
      <c r="O61" s="5">
        <v>164905</v>
      </c>
      <c r="P61" s="5">
        <v>130192</v>
      </c>
      <c r="Q61" s="5">
        <v>191962</v>
      </c>
      <c r="R61" s="5">
        <v>720961</v>
      </c>
      <c r="S61" s="5">
        <v>238369</v>
      </c>
      <c r="T61" s="5">
        <v>263713</v>
      </c>
      <c r="U61" s="5">
        <v>702320</v>
      </c>
      <c r="V61" s="5">
        <v>279218</v>
      </c>
      <c r="W61" s="5">
        <v>362969</v>
      </c>
      <c r="X61" s="5">
        <v>394527</v>
      </c>
      <c r="Y61" s="5">
        <v>635589</v>
      </c>
      <c r="Z61" s="7">
        <f t="shared" si="1"/>
        <v>9949821</v>
      </c>
    </row>
    <row r="62" spans="1:26" x14ac:dyDescent="0.45">
      <c r="A62" s="4" t="s">
        <v>184</v>
      </c>
      <c r="B62" s="5">
        <v>92729</v>
      </c>
      <c r="C62" s="5">
        <v>444548</v>
      </c>
      <c r="D62" s="5">
        <v>194629</v>
      </c>
      <c r="E62" s="5">
        <v>496720</v>
      </c>
      <c r="F62" s="5">
        <v>629933</v>
      </c>
      <c r="G62" s="5">
        <v>1198826</v>
      </c>
      <c r="H62" s="5">
        <v>802753</v>
      </c>
      <c r="I62" s="5">
        <v>363903</v>
      </c>
      <c r="J62" s="5">
        <v>206847</v>
      </c>
      <c r="K62" s="5">
        <v>450921</v>
      </c>
      <c r="L62" s="5">
        <v>549281</v>
      </c>
      <c r="M62" s="5">
        <v>608180</v>
      </c>
      <c r="N62" s="5">
        <v>220247</v>
      </c>
      <c r="O62" s="5">
        <v>247889</v>
      </c>
      <c r="P62" s="5">
        <v>312034</v>
      </c>
      <c r="Q62" s="5">
        <v>328431</v>
      </c>
      <c r="R62" s="5">
        <v>227550</v>
      </c>
      <c r="S62" s="5">
        <v>117538</v>
      </c>
      <c r="T62" s="5">
        <v>477998</v>
      </c>
      <c r="U62" s="5">
        <v>567185</v>
      </c>
      <c r="V62" s="5">
        <v>1508130</v>
      </c>
      <c r="W62" s="5">
        <v>1115473</v>
      </c>
      <c r="X62" s="5">
        <v>946046</v>
      </c>
      <c r="Y62" s="5">
        <v>575567</v>
      </c>
      <c r="Z62" s="7">
        <f t="shared" si="1"/>
        <v>12683358</v>
      </c>
    </row>
    <row r="63" spans="1:26" x14ac:dyDescent="0.45">
      <c r="A63" s="4" t="s">
        <v>5</v>
      </c>
      <c r="B63" s="5">
        <v>9469469</v>
      </c>
      <c r="C63" s="5">
        <v>10260017</v>
      </c>
      <c r="D63" s="5">
        <v>8818723</v>
      </c>
      <c r="E63" s="5">
        <v>9760186</v>
      </c>
      <c r="F63" s="5">
        <v>8628217</v>
      </c>
      <c r="G63" s="5">
        <v>10159470</v>
      </c>
      <c r="H63" s="5">
        <v>9604807</v>
      </c>
      <c r="I63" s="5">
        <v>7266423</v>
      </c>
      <c r="J63" s="5">
        <v>7843473</v>
      </c>
      <c r="K63" s="5">
        <v>11637165</v>
      </c>
      <c r="L63" s="5">
        <v>7420879</v>
      </c>
      <c r="M63" s="5">
        <v>8459631</v>
      </c>
      <c r="N63" s="5">
        <v>6994464</v>
      </c>
      <c r="O63" s="5">
        <v>8171001</v>
      </c>
      <c r="P63" s="5">
        <v>6061479</v>
      </c>
      <c r="Q63" s="5">
        <v>10013972</v>
      </c>
      <c r="R63" s="5">
        <v>11007140</v>
      </c>
      <c r="S63" s="5">
        <v>3761721</v>
      </c>
      <c r="T63" s="5">
        <v>1654158</v>
      </c>
      <c r="U63" s="5">
        <v>2264023</v>
      </c>
      <c r="V63" s="5">
        <v>2003527</v>
      </c>
      <c r="W63" s="5">
        <v>1414540</v>
      </c>
      <c r="X63" s="5">
        <v>828867</v>
      </c>
      <c r="Y63" s="5">
        <v>531482</v>
      </c>
      <c r="Z63" s="7">
        <f t="shared" si="1"/>
        <v>164034834</v>
      </c>
    </row>
    <row r="64" spans="1:26" x14ac:dyDescent="0.45">
      <c r="A64" s="4" t="s">
        <v>153</v>
      </c>
      <c r="B64" s="5">
        <v>355966</v>
      </c>
      <c r="C64" s="5">
        <v>646352</v>
      </c>
      <c r="D64" s="5">
        <v>903326</v>
      </c>
      <c r="E64" s="5">
        <v>624916</v>
      </c>
      <c r="F64" s="5">
        <v>832816</v>
      </c>
      <c r="G64" s="5">
        <v>598762</v>
      </c>
      <c r="H64" s="5">
        <v>965087</v>
      </c>
      <c r="I64" s="5">
        <v>394400</v>
      </c>
      <c r="J64" s="5">
        <v>1079402</v>
      </c>
      <c r="K64" s="5">
        <v>194080</v>
      </c>
      <c r="L64" s="5">
        <v>247244</v>
      </c>
      <c r="M64" s="5">
        <v>136333</v>
      </c>
      <c r="N64" s="5">
        <v>576483</v>
      </c>
      <c r="O64" s="5">
        <v>821567</v>
      </c>
      <c r="P64" s="5">
        <v>656744</v>
      </c>
      <c r="Q64" s="5">
        <v>424110</v>
      </c>
      <c r="R64" s="5">
        <v>1047773</v>
      </c>
      <c r="S64" s="5">
        <v>1051222</v>
      </c>
      <c r="T64" s="5">
        <v>382370</v>
      </c>
      <c r="U64" s="5">
        <v>560928</v>
      </c>
      <c r="V64" s="5">
        <v>623261</v>
      </c>
      <c r="W64" s="5">
        <v>92382</v>
      </c>
      <c r="X64" s="5">
        <v>599450</v>
      </c>
      <c r="Y64" s="5">
        <v>502119</v>
      </c>
      <c r="Z64" s="7">
        <f t="shared" si="1"/>
        <v>14317093</v>
      </c>
    </row>
    <row r="65" spans="1:26" x14ac:dyDescent="0.45">
      <c r="A65" s="4" t="s">
        <v>208</v>
      </c>
      <c r="B65" s="5">
        <v>9354</v>
      </c>
      <c r="C65" s="5">
        <v>202826</v>
      </c>
      <c r="D65" s="5">
        <v>62663</v>
      </c>
      <c r="E65" s="5">
        <v>233689</v>
      </c>
      <c r="F65" s="5">
        <v>30037</v>
      </c>
      <c r="G65" s="5">
        <v>122425</v>
      </c>
      <c r="H65" s="5">
        <v>99993</v>
      </c>
      <c r="I65" s="5">
        <v>233466</v>
      </c>
      <c r="J65" s="5">
        <v>261417</v>
      </c>
      <c r="K65" s="5">
        <v>5765</v>
      </c>
      <c r="L65" s="5">
        <v>36292</v>
      </c>
      <c r="M65" s="5">
        <v>25728</v>
      </c>
      <c r="N65" s="5">
        <v>68305</v>
      </c>
      <c r="O65" s="5">
        <v>19682</v>
      </c>
      <c r="P65" s="5">
        <v>61752</v>
      </c>
      <c r="Q65" s="5">
        <v>15622</v>
      </c>
      <c r="R65" s="5">
        <v>340075</v>
      </c>
      <c r="S65" s="5">
        <v>23224</v>
      </c>
      <c r="T65" s="5">
        <v>115392</v>
      </c>
      <c r="U65" s="5">
        <v>31224</v>
      </c>
      <c r="V65" s="5">
        <v>5299</v>
      </c>
      <c r="W65" s="5">
        <v>2900</v>
      </c>
      <c r="X65" s="5">
        <v>13180</v>
      </c>
      <c r="Y65" s="5">
        <v>475752</v>
      </c>
      <c r="Z65" s="7">
        <f t="shared" si="1"/>
        <v>2496062</v>
      </c>
    </row>
    <row r="66" spans="1:26" x14ac:dyDescent="0.45">
      <c r="A66" s="4" t="s">
        <v>62</v>
      </c>
      <c r="B66" s="6"/>
      <c r="C66" s="5">
        <v>4984</v>
      </c>
      <c r="D66" s="5">
        <v>5392</v>
      </c>
      <c r="E66" s="6"/>
      <c r="F66" s="5">
        <v>6500</v>
      </c>
      <c r="G66" s="5">
        <v>461391</v>
      </c>
      <c r="H66" s="5">
        <v>320137</v>
      </c>
      <c r="I66" s="5">
        <v>301680</v>
      </c>
      <c r="J66" s="5">
        <v>216396</v>
      </c>
      <c r="K66" s="5">
        <v>3925</v>
      </c>
      <c r="L66" s="5">
        <v>143479</v>
      </c>
      <c r="M66" s="5">
        <v>104203</v>
      </c>
      <c r="N66" s="5">
        <v>1260520</v>
      </c>
      <c r="O66" s="5">
        <v>169785</v>
      </c>
      <c r="P66" s="5">
        <v>281716</v>
      </c>
      <c r="Q66" s="5">
        <v>53888</v>
      </c>
      <c r="R66" s="5">
        <v>705536</v>
      </c>
      <c r="S66" s="5">
        <v>726243</v>
      </c>
      <c r="T66" s="5">
        <v>1316706</v>
      </c>
      <c r="U66" s="5">
        <v>279379</v>
      </c>
      <c r="V66" s="5">
        <v>550586</v>
      </c>
      <c r="W66" s="5">
        <v>468533</v>
      </c>
      <c r="X66" s="5">
        <v>281753</v>
      </c>
      <c r="Y66" s="5">
        <v>392694</v>
      </c>
      <c r="Z66" s="7">
        <f t="shared" si="1"/>
        <v>8055426</v>
      </c>
    </row>
    <row r="67" spans="1:26" x14ac:dyDescent="0.45">
      <c r="A67" s="4" t="s">
        <v>91</v>
      </c>
      <c r="B67" s="5">
        <v>70704</v>
      </c>
      <c r="C67" s="5">
        <v>93982</v>
      </c>
      <c r="D67" s="5">
        <v>172525</v>
      </c>
      <c r="E67" s="5">
        <v>161396</v>
      </c>
      <c r="F67" s="5">
        <v>384693</v>
      </c>
      <c r="G67" s="5">
        <v>175908</v>
      </c>
      <c r="H67" s="5">
        <v>149277</v>
      </c>
      <c r="I67" s="5">
        <v>431869</v>
      </c>
      <c r="J67" s="5">
        <v>94641</v>
      </c>
      <c r="K67" s="5">
        <v>814218</v>
      </c>
      <c r="L67" s="5">
        <v>661775</v>
      </c>
      <c r="M67" s="5">
        <v>1068627</v>
      </c>
      <c r="N67" s="5">
        <v>80126</v>
      </c>
      <c r="O67" s="5">
        <v>199542</v>
      </c>
      <c r="P67" s="5">
        <v>110788</v>
      </c>
      <c r="Q67" s="5">
        <v>456422</v>
      </c>
      <c r="R67" s="5">
        <v>403608</v>
      </c>
      <c r="S67" s="5">
        <v>48563</v>
      </c>
      <c r="T67" s="5">
        <v>86507</v>
      </c>
      <c r="U67" s="5">
        <v>268592</v>
      </c>
      <c r="V67" s="5">
        <v>48231</v>
      </c>
      <c r="W67" s="5">
        <v>145719</v>
      </c>
      <c r="X67" s="5">
        <v>111660</v>
      </c>
      <c r="Y67" s="5">
        <v>221618</v>
      </c>
      <c r="Z67" s="7">
        <f t="shared" si="1"/>
        <v>6460991</v>
      </c>
    </row>
    <row r="68" spans="1:26" x14ac:dyDescent="0.45">
      <c r="A68" s="4" t="s">
        <v>148</v>
      </c>
      <c r="B68" s="5">
        <v>307803</v>
      </c>
      <c r="C68" s="5">
        <v>504366</v>
      </c>
      <c r="D68" s="5">
        <v>376770</v>
      </c>
      <c r="E68" s="5">
        <v>258364</v>
      </c>
      <c r="F68" s="5">
        <v>400835</v>
      </c>
      <c r="G68" s="5">
        <v>210428</v>
      </c>
      <c r="H68" s="5">
        <v>852185</v>
      </c>
      <c r="I68" s="5">
        <v>607272</v>
      </c>
      <c r="J68" s="5">
        <v>221605</v>
      </c>
      <c r="K68" s="5">
        <v>13765</v>
      </c>
      <c r="L68" s="5">
        <v>72925</v>
      </c>
      <c r="M68" s="5">
        <v>94528</v>
      </c>
      <c r="N68" s="5">
        <v>21345</v>
      </c>
      <c r="O68" s="5">
        <v>147269</v>
      </c>
      <c r="P68" s="5">
        <v>335299</v>
      </c>
      <c r="Q68" s="5">
        <v>139589</v>
      </c>
      <c r="R68" s="5">
        <v>265610</v>
      </c>
      <c r="S68" s="5">
        <v>401964</v>
      </c>
      <c r="T68" s="5">
        <v>302222</v>
      </c>
      <c r="U68" s="5">
        <v>4593</v>
      </c>
      <c r="V68" s="6"/>
      <c r="W68" s="6"/>
      <c r="X68" s="5">
        <v>10430</v>
      </c>
      <c r="Y68" s="5">
        <v>54684</v>
      </c>
      <c r="Z68" s="7">
        <f t="shared" si="1"/>
        <v>5603851</v>
      </c>
    </row>
    <row r="69" spans="1:26" x14ac:dyDescent="0.45">
      <c r="A69" s="4" t="s">
        <v>211</v>
      </c>
      <c r="B69" s="5">
        <v>191398</v>
      </c>
      <c r="C69" s="5">
        <v>264201</v>
      </c>
      <c r="D69" s="5">
        <v>146791</v>
      </c>
      <c r="E69" s="5">
        <v>210102</v>
      </c>
      <c r="F69" s="5">
        <v>248052</v>
      </c>
      <c r="G69" s="5">
        <v>606534</v>
      </c>
      <c r="H69" s="5">
        <v>2672576</v>
      </c>
      <c r="I69" s="5">
        <v>377259</v>
      </c>
      <c r="J69" s="5">
        <v>355659</v>
      </c>
      <c r="K69" s="5">
        <v>1219506</v>
      </c>
      <c r="L69" s="5">
        <v>615135</v>
      </c>
      <c r="M69" s="5">
        <v>535841</v>
      </c>
      <c r="N69" s="5">
        <v>1931352</v>
      </c>
      <c r="O69" s="5">
        <v>1512237</v>
      </c>
      <c r="P69" s="5">
        <v>744594</v>
      </c>
      <c r="Q69" s="5">
        <v>157463</v>
      </c>
      <c r="R69" s="5">
        <v>87140</v>
      </c>
      <c r="S69" s="5">
        <v>165608</v>
      </c>
      <c r="T69" s="5">
        <v>226307</v>
      </c>
      <c r="U69" s="5">
        <v>12000</v>
      </c>
      <c r="V69" s="5">
        <v>48608</v>
      </c>
      <c r="W69" s="5">
        <v>38420</v>
      </c>
      <c r="X69" s="5">
        <v>60500</v>
      </c>
      <c r="Y69" s="5">
        <v>54579</v>
      </c>
      <c r="Z69" s="7">
        <f t="shared" si="1"/>
        <v>12481862</v>
      </c>
    </row>
    <row r="70" spans="1:26" x14ac:dyDescent="0.45">
      <c r="A70" s="4" t="s">
        <v>68</v>
      </c>
      <c r="B70" s="6"/>
      <c r="C70" s="5">
        <v>74300</v>
      </c>
      <c r="D70" s="5">
        <v>4236</v>
      </c>
      <c r="E70" s="5">
        <v>24241</v>
      </c>
      <c r="F70" s="6"/>
      <c r="G70" s="5">
        <v>94991</v>
      </c>
      <c r="H70" s="5">
        <v>30052</v>
      </c>
      <c r="I70" s="5">
        <v>292842</v>
      </c>
      <c r="J70" s="5">
        <v>70971</v>
      </c>
      <c r="K70" s="6"/>
      <c r="L70" s="5">
        <v>19183</v>
      </c>
      <c r="M70" s="5">
        <v>223849</v>
      </c>
      <c r="N70" s="5">
        <v>45615</v>
      </c>
      <c r="O70" s="5">
        <v>104251</v>
      </c>
      <c r="P70" s="5">
        <v>12532</v>
      </c>
      <c r="Q70" s="5">
        <v>190681</v>
      </c>
      <c r="R70" s="5">
        <v>4800</v>
      </c>
      <c r="S70" s="5">
        <v>122592</v>
      </c>
      <c r="T70" s="6"/>
      <c r="U70" s="6"/>
      <c r="V70" s="6"/>
      <c r="W70" s="5">
        <v>3676</v>
      </c>
      <c r="X70" s="5">
        <v>20836</v>
      </c>
      <c r="Y70" s="5">
        <v>51350</v>
      </c>
      <c r="Z70" s="7">
        <f t="shared" ref="Z70:Z101" si="2">SUM(B70:Y70)</f>
        <v>1390998</v>
      </c>
    </row>
    <row r="71" spans="1:26" x14ac:dyDescent="0.45">
      <c r="A71" s="4" t="s">
        <v>10</v>
      </c>
      <c r="B71" s="5">
        <v>17330</v>
      </c>
      <c r="C71" s="5">
        <v>21070</v>
      </c>
      <c r="D71" s="5">
        <v>125695</v>
      </c>
      <c r="E71" s="5">
        <v>88684</v>
      </c>
      <c r="F71" s="5">
        <v>114116</v>
      </c>
      <c r="G71" s="5">
        <v>52016</v>
      </c>
      <c r="H71" s="5">
        <v>246959</v>
      </c>
      <c r="I71" s="5">
        <v>96096</v>
      </c>
      <c r="J71" s="5">
        <v>10283</v>
      </c>
      <c r="K71" s="5">
        <v>39879</v>
      </c>
      <c r="L71" s="5">
        <v>4500</v>
      </c>
      <c r="M71" s="5">
        <v>173815</v>
      </c>
      <c r="N71" s="5">
        <v>39560</v>
      </c>
      <c r="O71" s="5">
        <v>44200</v>
      </c>
      <c r="P71" s="5">
        <v>27935</v>
      </c>
      <c r="Q71" s="5">
        <v>105619</v>
      </c>
      <c r="R71" s="5">
        <v>193365</v>
      </c>
      <c r="S71" s="5">
        <v>18240</v>
      </c>
      <c r="T71" s="5">
        <v>73519</v>
      </c>
      <c r="U71" s="5">
        <v>71880</v>
      </c>
      <c r="V71" s="5">
        <v>12512</v>
      </c>
      <c r="W71" s="5">
        <v>32836</v>
      </c>
      <c r="X71" s="5">
        <v>41619</v>
      </c>
      <c r="Y71" s="5">
        <v>32853</v>
      </c>
      <c r="Z71" s="7">
        <f t="shared" si="2"/>
        <v>1684581</v>
      </c>
    </row>
    <row r="72" spans="1:26" x14ac:dyDescent="0.45">
      <c r="A72" s="4" t="s">
        <v>218</v>
      </c>
      <c r="B72" s="6"/>
      <c r="C72" s="5">
        <v>24792</v>
      </c>
      <c r="D72" s="5">
        <v>32320</v>
      </c>
      <c r="E72" s="6"/>
      <c r="F72" s="5">
        <v>11461</v>
      </c>
      <c r="G72" s="5">
        <v>57826</v>
      </c>
      <c r="H72" s="5">
        <v>294678</v>
      </c>
      <c r="I72" s="6"/>
      <c r="J72" s="6"/>
      <c r="K72" s="6"/>
      <c r="L72" s="6"/>
      <c r="M72" s="6"/>
      <c r="N72" s="6"/>
      <c r="O72" s="5">
        <v>122372</v>
      </c>
      <c r="P72" s="5">
        <v>69575</v>
      </c>
      <c r="Q72" s="5">
        <v>45700</v>
      </c>
      <c r="R72" s="5">
        <v>66699</v>
      </c>
      <c r="S72" s="5">
        <v>30500</v>
      </c>
      <c r="T72" s="6"/>
      <c r="U72" s="5">
        <v>66390</v>
      </c>
      <c r="V72" s="5">
        <v>11453</v>
      </c>
      <c r="W72" s="6"/>
      <c r="X72" s="6"/>
      <c r="Y72" s="5">
        <v>32120</v>
      </c>
      <c r="Z72" s="7">
        <f t="shared" si="2"/>
        <v>865886</v>
      </c>
    </row>
    <row r="73" spans="1:26" x14ac:dyDescent="0.45">
      <c r="A73" s="4" t="s">
        <v>126</v>
      </c>
      <c r="B73" s="5">
        <v>11550</v>
      </c>
      <c r="C73" s="5">
        <v>90237</v>
      </c>
      <c r="D73" s="6"/>
      <c r="E73" s="5">
        <v>14900</v>
      </c>
      <c r="F73" s="5">
        <v>55839</v>
      </c>
      <c r="G73" s="6"/>
      <c r="H73" s="5">
        <v>62838</v>
      </c>
      <c r="I73" s="6"/>
      <c r="J73" s="5">
        <v>105450</v>
      </c>
      <c r="K73" s="6"/>
      <c r="L73" s="5">
        <v>6815</v>
      </c>
      <c r="M73" s="5">
        <v>20000</v>
      </c>
      <c r="N73" s="6"/>
      <c r="O73" s="5">
        <v>3850</v>
      </c>
      <c r="P73" s="5">
        <v>12560</v>
      </c>
      <c r="Q73" s="5">
        <v>63927</v>
      </c>
      <c r="R73" s="5">
        <v>244847</v>
      </c>
      <c r="S73" s="5">
        <v>67113</v>
      </c>
      <c r="T73" s="5">
        <v>25216</v>
      </c>
      <c r="U73" s="5">
        <v>21457</v>
      </c>
      <c r="V73" s="5">
        <v>7961</v>
      </c>
      <c r="W73" s="5">
        <v>10409</v>
      </c>
      <c r="X73" s="5">
        <v>8053</v>
      </c>
      <c r="Y73" s="5">
        <v>22080</v>
      </c>
      <c r="Z73" s="7">
        <f t="shared" si="2"/>
        <v>855102</v>
      </c>
    </row>
    <row r="74" spans="1:26" x14ac:dyDescent="0.45">
      <c r="A74" s="4" t="s">
        <v>40</v>
      </c>
      <c r="B74" s="5">
        <v>3500</v>
      </c>
      <c r="C74" s="5">
        <v>2800</v>
      </c>
      <c r="D74" s="5">
        <v>84476</v>
      </c>
      <c r="E74" s="6"/>
      <c r="F74" s="6"/>
      <c r="G74" s="5">
        <v>8500</v>
      </c>
      <c r="H74" s="6"/>
      <c r="I74" s="5">
        <v>12000</v>
      </c>
      <c r="J74" s="5">
        <v>6200</v>
      </c>
      <c r="K74" s="5">
        <v>3500</v>
      </c>
      <c r="L74" s="5">
        <v>7700</v>
      </c>
      <c r="M74" s="5">
        <v>2583</v>
      </c>
      <c r="N74" s="5">
        <v>32465</v>
      </c>
      <c r="O74" s="5">
        <v>12300</v>
      </c>
      <c r="P74" s="5">
        <v>58800</v>
      </c>
      <c r="Q74" s="5">
        <v>28290</v>
      </c>
      <c r="R74" s="6"/>
      <c r="S74" s="5">
        <v>25968</v>
      </c>
      <c r="T74" s="5">
        <v>34347</v>
      </c>
      <c r="U74" s="5">
        <v>57742</v>
      </c>
      <c r="V74" s="5">
        <v>22761</v>
      </c>
      <c r="W74" s="5">
        <v>5929</v>
      </c>
      <c r="X74" s="5">
        <v>13411</v>
      </c>
      <c r="Y74" s="5">
        <v>19440</v>
      </c>
      <c r="Z74" s="7">
        <f t="shared" si="2"/>
        <v>442712</v>
      </c>
    </row>
    <row r="75" spans="1:26" x14ac:dyDescent="0.45">
      <c r="A75" s="4" t="s">
        <v>213</v>
      </c>
      <c r="B75" s="6"/>
      <c r="C75" s="5">
        <v>6594</v>
      </c>
      <c r="D75" s="5">
        <v>74955</v>
      </c>
      <c r="E75" s="5">
        <v>111110</v>
      </c>
      <c r="F75" s="5">
        <v>24340</v>
      </c>
      <c r="G75" s="5">
        <v>6000</v>
      </c>
      <c r="H75" s="6"/>
      <c r="I75" s="5">
        <v>2360</v>
      </c>
      <c r="J75" s="6"/>
      <c r="K75" s="5">
        <v>11410</v>
      </c>
      <c r="L75" s="5">
        <v>12825</v>
      </c>
      <c r="M75" s="6"/>
      <c r="N75" s="5">
        <v>52500</v>
      </c>
      <c r="O75" s="5">
        <v>80700</v>
      </c>
      <c r="P75" s="6"/>
      <c r="Q75" s="5">
        <v>142492</v>
      </c>
      <c r="R75" s="5">
        <v>376878</v>
      </c>
      <c r="S75" s="5">
        <v>31098</v>
      </c>
      <c r="T75" s="5">
        <v>14048</v>
      </c>
      <c r="U75" s="5">
        <v>15663</v>
      </c>
      <c r="V75" s="5">
        <v>66350</v>
      </c>
      <c r="W75" s="5">
        <v>40341</v>
      </c>
      <c r="X75" s="5">
        <v>2060</v>
      </c>
      <c r="Y75" s="5">
        <v>17425</v>
      </c>
      <c r="Z75" s="7">
        <f t="shared" si="2"/>
        <v>1089149</v>
      </c>
    </row>
    <row r="76" spans="1:26" x14ac:dyDescent="0.45">
      <c r="A76" s="4" t="s">
        <v>139</v>
      </c>
      <c r="B76" s="6"/>
      <c r="C76" s="6"/>
      <c r="D76" s="6"/>
      <c r="E76" s="6"/>
      <c r="F76" s="6"/>
      <c r="G76" s="6"/>
      <c r="H76" s="5">
        <v>6285</v>
      </c>
      <c r="I76" s="6"/>
      <c r="J76" s="6"/>
      <c r="K76" s="6"/>
      <c r="L76" s="6"/>
      <c r="M76" s="6"/>
      <c r="N76" s="5">
        <v>2727</v>
      </c>
      <c r="O76" s="6"/>
      <c r="P76" s="6"/>
      <c r="Q76" s="6"/>
      <c r="R76" s="6"/>
      <c r="S76" s="6"/>
      <c r="T76" s="5">
        <v>5567</v>
      </c>
      <c r="U76" s="6"/>
      <c r="V76" s="5">
        <v>5450</v>
      </c>
      <c r="W76" s="6"/>
      <c r="X76" s="6"/>
      <c r="Y76" s="5">
        <v>13309</v>
      </c>
      <c r="Z76" s="7">
        <f t="shared" si="2"/>
        <v>33338</v>
      </c>
    </row>
    <row r="77" spans="1:26" x14ac:dyDescent="0.45">
      <c r="A77" s="4" t="s">
        <v>140</v>
      </c>
      <c r="B77" s="5">
        <v>26884</v>
      </c>
      <c r="C77" s="5">
        <v>44800</v>
      </c>
      <c r="D77" s="5">
        <v>47225</v>
      </c>
      <c r="E77" s="5">
        <v>26380</v>
      </c>
      <c r="F77" s="5">
        <v>8000</v>
      </c>
      <c r="G77" s="5">
        <v>16400</v>
      </c>
      <c r="H77" s="5">
        <v>52912</v>
      </c>
      <c r="I77" s="5">
        <v>15000</v>
      </c>
      <c r="J77" s="5">
        <v>20800</v>
      </c>
      <c r="K77" s="5">
        <v>38012</v>
      </c>
      <c r="L77" s="5">
        <v>20480</v>
      </c>
      <c r="M77" s="5">
        <v>31250</v>
      </c>
      <c r="N77" s="5">
        <v>37283</v>
      </c>
      <c r="O77" s="5">
        <v>35700</v>
      </c>
      <c r="P77" s="5">
        <v>16750</v>
      </c>
      <c r="Q77" s="5">
        <v>19856</v>
      </c>
      <c r="R77" s="5">
        <v>45810</v>
      </c>
      <c r="S77" s="5">
        <v>42100</v>
      </c>
      <c r="T77" s="5">
        <v>83084</v>
      </c>
      <c r="U77" s="5">
        <v>307835</v>
      </c>
      <c r="V77" s="5">
        <v>190990</v>
      </c>
      <c r="W77" s="5">
        <v>67020</v>
      </c>
      <c r="X77" s="5">
        <v>33335</v>
      </c>
      <c r="Y77" s="5">
        <v>8750</v>
      </c>
      <c r="Z77" s="7">
        <f t="shared" si="2"/>
        <v>1236656</v>
      </c>
    </row>
    <row r="78" spans="1:26" x14ac:dyDescent="0.45">
      <c r="A78" s="4" t="s">
        <v>110</v>
      </c>
      <c r="B78" s="5">
        <v>82800</v>
      </c>
      <c r="C78" s="5">
        <v>252658</v>
      </c>
      <c r="D78" s="5">
        <v>297135</v>
      </c>
      <c r="E78" s="5">
        <v>125000</v>
      </c>
      <c r="F78" s="5">
        <v>191410</v>
      </c>
      <c r="G78" s="5">
        <v>274980</v>
      </c>
      <c r="H78" s="5">
        <v>202200</v>
      </c>
      <c r="I78" s="5">
        <v>148496</v>
      </c>
      <c r="J78" s="5">
        <v>220066</v>
      </c>
      <c r="K78" s="5">
        <v>473865</v>
      </c>
      <c r="L78" s="5">
        <v>127500</v>
      </c>
      <c r="M78" s="5">
        <v>672426</v>
      </c>
      <c r="N78" s="5">
        <v>565961</v>
      </c>
      <c r="O78" s="6"/>
      <c r="P78" s="5">
        <v>651604</v>
      </c>
      <c r="Q78" s="5">
        <v>979150</v>
      </c>
      <c r="R78" s="5">
        <v>734480</v>
      </c>
      <c r="S78" s="5">
        <v>215751</v>
      </c>
      <c r="T78" s="5">
        <v>139925</v>
      </c>
      <c r="U78" s="5">
        <v>15560</v>
      </c>
      <c r="V78" s="5">
        <v>321540</v>
      </c>
      <c r="W78" s="6"/>
      <c r="X78" s="6"/>
      <c r="Y78" s="6"/>
      <c r="Z78" s="7">
        <f t="shared" si="2"/>
        <v>6692507</v>
      </c>
    </row>
    <row r="79" spans="1:26" x14ac:dyDescent="0.45">
      <c r="A79" s="4" t="s">
        <v>134</v>
      </c>
      <c r="B79" s="5">
        <v>158500</v>
      </c>
      <c r="C79" s="5">
        <v>27170</v>
      </c>
      <c r="D79" s="5">
        <v>146510</v>
      </c>
      <c r="E79" s="6"/>
      <c r="F79" s="5">
        <v>129126</v>
      </c>
      <c r="G79" s="6"/>
      <c r="H79" s="6"/>
      <c r="I79" s="6"/>
      <c r="J79" s="6"/>
      <c r="K79" s="5">
        <v>316438</v>
      </c>
      <c r="L79" s="5">
        <v>173721</v>
      </c>
      <c r="M79" s="5">
        <v>247697</v>
      </c>
      <c r="N79" s="5">
        <v>118766</v>
      </c>
      <c r="O79" s="5">
        <v>170916</v>
      </c>
      <c r="P79" s="5">
        <v>315131</v>
      </c>
      <c r="Q79" s="5">
        <v>304623</v>
      </c>
      <c r="R79" s="6"/>
      <c r="S79" s="5">
        <v>4256</v>
      </c>
      <c r="T79" s="6"/>
      <c r="U79" s="5">
        <v>10899</v>
      </c>
      <c r="V79" s="5">
        <v>7073</v>
      </c>
      <c r="W79" s="6"/>
      <c r="X79" s="5">
        <v>11162</v>
      </c>
      <c r="Y79" s="6"/>
      <c r="Z79" s="7">
        <f t="shared" si="2"/>
        <v>2141988</v>
      </c>
    </row>
    <row r="80" spans="1:26" x14ac:dyDescent="0.45">
      <c r="A80" s="4" t="s">
        <v>50</v>
      </c>
      <c r="B80" s="6"/>
      <c r="C80" s="6"/>
      <c r="D80" s="6"/>
      <c r="E80" s="5">
        <v>28000</v>
      </c>
      <c r="F80" s="6"/>
      <c r="G80" s="6"/>
      <c r="H80" s="6"/>
      <c r="I80" s="6"/>
      <c r="J80" s="5">
        <v>963463</v>
      </c>
      <c r="K80" s="5">
        <v>36642</v>
      </c>
      <c r="L80" s="6"/>
      <c r="M80" s="5">
        <v>75770</v>
      </c>
      <c r="N80" s="6"/>
      <c r="O80" s="5">
        <v>56247</v>
      </c>
      <c r="P80" s="5">
        <v>6675</v>
      </c>
      <c r="Q80" s="6"/>
      <c r="R80" s="6"/>
      <c r="S80" s="6"/>
      <c r="T80" s="6"/>
      <c r="U80" s="6"/>
      <c r="V80" s="6"/>
      <c r="W80" s="6"/>
      <c r="X80" s="5">
        <v>26596</v>
      </c>
      <c r="Y80" s="6"/>
      <c r="Z80" s="7">
        <f t="shared" si="2"/>
        <v>1193393</v>
      </c>
    </row>
    <row r="81" spans="1:26" x14ac:dyDescent="0.45">
      <c r="A81" s="4" t="s">
        <v>128</v>
      </c>
      <c r="B81" s="6"/>
      <c r="C81" s="5">
        <v>16683</v>
      </c>
      <c r="D81" s="5">
        <v>15032</v>
      </c>
      <c r="E81" s="5">
        <v>37947</v>
      </c>
      <c r="F81" s="6"/>
      <c r="G81" s="5">
        <v>29324</v>
      </c>
      <c r="H81" s="6"/>
      <c r="I81" s="5">
        <v>30912</v>
      </c>
      <c r="J81" s="5">
        <v>95871</v>
      </c>
      <c r="K81" s="5">
        <v>124886</v>
      </c>
      <c r="L81" s="5">
        <v>22221</v>
      </c>
      <c r="M81" s="5">
        <v>25495</v>
      </c>
      <c r="N81" s="6"/>
      <c r="O81" s="5">
        <v>25784</v>
      </c>
      <c r="P81" s="6"/>
      <c r="Q81" s="6"/>
      <c r="R81" s="5">
        <v>31789</v>
      </c>
      <c r="S81" s="6"/>
      <c r="T81" s="6"/>
      <c r="U81" s="6"/>
      <c r="V81" s="5">
        <v>75000</v>
      </c>
      <c r="W81" s="6"/>
      <c r="X81" s="5">
        <v>24000</v>
      </c>
      <c r="Y81" s="6"/>
      <c r="Z81" s="7">
        <f t="shared" si="2"/>
        <v>554944</v>
      </c>
    </row>
    <row r="82" spans="1:26" x14ac:dyDescent="0.45">
      <c r="A82" s="4" t="s">
        <v>138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5">
        <v>5000</v>
      </c>
      <c r="T82" s="6"/>
      <c r="U82" s="6"/>
      <c r="V82" s="6"/>
      <c r="W82" s="6"/>
      <c r="X82" s="6"/>
      <c r="Y82" s="6"/>
      <c r="Z82" s="7">
        <f t="shared" si="2"/>
        <v>5000</v>
      </c>
    </row>
  </sheetData>
  <sortState xmlns:xlrd2="http://schemas.microsoft.com/office/spreadsheetml/2017/richdata2" ref="A6:Z82">
    <sortCondition descending="1" ref="Y6:Y8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B1F0-4DDD-41EA-810E-077BAC9D23D2}">
  <dimension ref="A2:Z195"/>
  <sheetViews>
    <sheetView topLeftCell="A19" zoomScale="40" zoomScaleNormal="40" workbookViewId="0">
      <selection activeCell="I39" sqref="I39"/>
    </sheetView>
  </sheetViews>
  <sheetFormatPr defaultRowHeight="14.25" x14ac:dyDescent="0.45"/>
  <cols>
    <col min="1" max="1" width="48" bestFit="1" customWidth="1"/>
    <col min="2" max="2" width="12.53125" bestFit="1" customWidth="1"/>
    <col min="3" max="3" width="13.73046875" bestFit="1" customWidth="1"/>
    <col min="4" max="4" width="13.33203125" bestFit="1" customWidth="1"/>
    <col min="5" max="5" width="12.9296875" bestFit="1" customWidth="1"/>
    <col min="6" max="6" width="13.33203125" bestFit="1" customWidth="1"/>
    <col min="7" max="7" width="12.9296875" bestFit="1" customWidth="1"/>
    <col min="8" max="11" width="12.53125" bestFit="1" customWidth="1"/>
    <col min="12" max="12" width="13.73046875" bestFit="1" customWidth="1"/>
    <col min="13" max="13" width="13.33203125" bestFit="1" customWidth="1"/>
    <col min="14" max="15" width="12.9296875" bestFit="1" customWidth="1"/>
    <col min="16" max="16" width="13.73046875" bestFit="1" customWidth="1"/>
    <col min="17" max="17" width="13.33203125" bestFit="1" customWidth="1"/>
    <col min="18" max="18" width="13.73046875" bestFit="1" customWidth="1"/>
    <col min="19" max="19" width="13.33203125" bestFit="1" customWidth="1"/>
    <col min="20" max="20" width="12.9296875" bestFit="1" customWidth="1"/>
    <col min="21" max="23" width="13.73046875" bestFit="1" customWidth="1"/>
    <col min="24" max="25" width="13.33203125" bestFit="1" customWidth="1"/>
    <col min="26" max="26" width="15" bestFit="1" customWidth="1"/>
  </cols>
  <sheetData>
    <row r="2" spans="1:26" x14ac:dyDescent="0.45">
      <c r="A2" s="2" t="s">
        <v>2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 t="s">
        <v>34</v>
      </c>
      <c r="V2" s="3" t="s">
        <v>35</v>
      </c>
      <c r="W2" s="3" t="s">
        <v>36</v>
      </c>
      <c r="X2" s="3" t="s">
        <v>37</v>
      </c>
      <c r="Y2" s="3" t="s">
        <v>38</v>
      </c>
    </row>
    <row r="3" spans="1:26" x14ac:dyDescent="0.45">
      <c r="A3" s="4" t="s">
        <v>45</v>
      </c>
      <c r="B3" s="5">
        <v>994146026</v>
      </c>
      <c r="C3" s="5">
        <v>1027007465</v>
      </c>
      <c r="D3" s="5">
        <v>1081033728</v>
      </c>
      <c r="E3" s="5">
        <v>1104092971</v>
      </c>
      <c r="F3" s="5">
        <v>1194029482</v>
      </c>
      <c r="G3" s="5">
        <v>1039508151</v>
      </c>
      <c r="H3" s="5">
        <v>999491465</v>
      </c>
      <c r="I3" s="5">
        <v>770635247</v>
      </c>
      <c r="J3" s="5">
        <v>863336300</v>
      </c>
      <c r="K3" s="5">
        <v>941730607</v>
      </c>
      <c r="L3" s="5">
        <v>1242559200</v>
      </c>
      <c r="M3" s="5">
        <v>1451926292</v>
      </c>
      <c r="N3" s="5">
        <v>1421127857</v>
      </c>
      <c r="O3" s="5">
        <v>1550589115</v>
      </c>
      <c r="P3" s="5">
        <v>1607223549</v>
      </c>
      <c r="Q3" s="5">
        <v>1950369715</v>
      </c>
      <c r="R3" s="5">
        <v>2048218137</v>
      </c>
      <c r="S3" s="5">
        <v>1848271098</v>
      </c>
      <c r="T3" s="5">
        <v>1592391419</v>
      </c>
      <c r="U3" s="5">
        <v>1788229426</v>
      </c>
      <c r="V3" s="5">
        <v>1823645930</v>
      </c>
      <c r="W3" s="5">
        <v>1823814647</v>
      </c>
      <c r="X3" s="5">
        <v>1614509924</v>
      </c>
      <c r="Y3" s="5">
        <v>1616829002</v>
      </c>
      <c r="Z3" s="7">
        <f t="shared" ref="Z3:Z34" si="0">SUM(B3:Y3)</f>
        <v>33394716753</v>
      </c>
    </row>
    <row r="4" spans="1:26" x14ac:dyDescent="0.45">
      <c r="A4" s="4" t="s">
        <v>168</v>
      </c>
      <c r="B4" s="5">
        <v>587656719</v>
      </c>
      <c r="C4" s="5">
        <v>582586325</v>
      </c>
      <c r="D4" s="5">
        <v>553749597</v>
      </c>
      <c r="E4" s="5">
        <v>643769590</v>
      </c>
      <c r="F4" s="5">
        <v>642196644</v>
      </c>
      <c r="G4" s="5">
        <v>498678816</v>
      </c>
      <c r="H4" s="5">
        <v>483088677</v>
      </c>
      <c r="I4" s="5">
        <v>362791506</v>
      </c>
      <c r="J4" s="5">
        <v>396942356</v>
      </c>
      <c r="K4" s="5">
        <v>380514807</v>
      </c>
      <c r="L4" s="5">
        <v>481219440</v>
      </c>
      <c r="M4" s="5">
        <v>694254671</v>
      </c>
      <c r="N4" s="5">
        <v>654908872</v>
      </c>
      <c r="O4" s="5">
        <v>768370553</v>
      </c>
      <c r="P4" s="5">
        <v>795289783</v>
      </c>
      <c r="Q4" s="5">
        <v>964795899</v>
      </c>
      <c r="R4" s="5">
        <v>1004202444</v>
      </c>
      <c r="S4" s="5">
        <v>913988122</v>
      </c>
      <c r="T4" s="5">
        <v>731288124</v>
      </c>
      <c r="U4" s="5">
        <v>906853878</v>
      </c>
      <c r="V4" s="5">
        <v>937512600</v>
      </c>
      <c r="W4" s="5">
        <v>1050602744</v>
      </c>
      <c r="X4" s="5">
        <v>742666386</v>
      </c>
      <c r="Y4" s="5">
        <v>746480903</v>
      </c>
      <c r="Z4" s="7">
        <f t="shared" si="0"/>
        <v>16524409456</v>
      </c>
    </row>
    <row r="5" spans="1:26" x14ac:dyDescent="0.45">
      <c r="A5" s="4" t="s">
        <v>169</v>
      </c>
      <c r="B5" s="5">
        <v>583775976</v>
      </c>
      <c r="C5" s="5">
        <v>580462322</v>
      </c>
      <c r="D5" s="5">
        <v>549050092</v>
      </c>
      <c r="E5" s="5">
        <v>640543736</v>
      </c>
      <c r="F5" s="5">
        <v>636302812</v>
      </c>
      <c r="G5" s="5">
        <v>494702062</v>
      </c>
      <c r="H5" s="5">
        <v>478627577</v>
      </c>
      <c r="I5" s="5">
        <v>352884433</v>
      </c>
      <c r="J5" s="5">
        <v>390056451</v>
      </c>
      <c r="K5" s="5">
        <v>372443083</v>
      </c>
      <c r="L5" s="5">
        <v>471006504</v>
      </c>
      <c r="M5" s="5">
        <v>682260355</v>
      </c>
      <c r="N5" s="5">
        <v>642386770</v>
      </c>
      <c r="O5" s="5">
        <v>753354409</v>
      </c>
      <c r="P5" s="5">
        <v>781613390</v>
      </c>
      <c r="Q5" s="5">
        <v>944950351</v>
      </c>
      <c r="R5" s="5">
        <v>985312218</v>
      </c>
      <c r="S5" s="5">
        <v>896231931</v>
      </c>
      <c r="T5" s="5">
        <v>714114595</v>
      </c>
      <c r="U5" s="5">
        <v>887058962</v>
      </c>
      <c r="V5" s="5">
        <v>910082842</v>
      </c>
      <c r="W5" s="5">
        <v>1012497718</v>
      </c>
      <c r="X5" s="5">
        <v>715806660</v>
      </c>
      <c r="Y5" s="5">
        <v>713580547</v>
      </c>
      <c r="Z5" s="7">
        <f t="shared" si="0"/>
        <v>16189105796</v>
      </c>
    </row>
    <row r="6" spans="1:26" x14ac:dyDescent="0.45">
      <c r="A6" s="4" t="s">
        <v>48</v>
      </c>
      <c r="B6" s="5">
        <v>274286707</v>
      </c>
      <c r="C6" s="5">
        <v>278170939</v>
      </c>
      <c r="D6" s="5">
        <v>335857238</v>
      </c>
      <c r="E6" s="5">
        <v>293142174</v>
      </c>
      <c r="F6" s="5">
        <v>348542110</v>
      </c>
      <c r="G6" s="5">
        <v>335721748</v>
      </c>
      <c r="H6" s="5">
        <v>347649548</v>
      </c>
      <c r="I6" s="5">
        <v>285198461</v>
      </c>
      <c r="J6" s="5">
        <v>328603975</v>
      </c>
      <c r="K6" s="5">
        <v>385108207</v>
      </c>
      <c r="L6" s="5">
        <v>592998673</v>
      </c>
      <c r="M6" s="5">
        <v>532925847</v>
      </c>
      <c r="N6" s="5">
        <v>544784118</v>
      </c>
      <c r="O6" s="5">
        <v>600271931</v>
      </c>
      <c r="P6" s="5">
        <v>615208270</v>
      </c>
      <c r="Q6" s="5">
        <v>729781035</v>
      </c>
      <c r="R6" s="5">
        <v>749730218</v>
      </c>
      <c r="S6" s="5">
        <v>696595135</v>
      </c>
      <c r="T6" s="5">
        <v>650239472</v>
      </c>
      <c r="U6" s="5">
        <v>594337066</v>
      </c>
      <c r="V6" s="5">
        <v>593201238</v>
      </c>
      <c r="W6" s="5">
        <v>491453474</v>
      </c>
      <c r="X6" s="5">
        <v>544857033</v>
      </c>
      <c r="Y6" s="5">
        <v>491200827</v>
      </c>
      <c r="Z6" s="7">
        <f t="shared" si="0"/>
        <v>11639865444</v>
      </c>
    </row>
    <row r="7" spans="1:26" x14ac:dyDescent="0.45">
      <c r="A7" s="4" t="s">
        <v>69</v>
      </c>
      <c r="B7" s="5">
        <v>272532552</v>
      </c>
      <c r="C7" s="5">
        <v>276440995</v>
      </c>
      <c r="D7" s="5">
        <v>333761267</v>
      </c>
      <c r="E7" s="5">
        <v>290470441</v>
      </c>
      <c r="F7" s="5">
        <v>347483794</v>
      </c>
      <c r="G7" s="5">
        <v>331809202</v>
      </c>
      <c r="H7" s="5">
        <v>342459387</v>
      </c>
      <c r="I7" s="5">
        <v>282562105</v>
      </c>
      <c r="J7" s="5">
        <v>327381681</v>
      </c>
      <c r="K7" s="5">
        <v>384046734</v>
      </c>
      <c r="L7" s="5">
        <v>590001368</v>
      </c>
      <c r="M7" s="5">
        <v>529152016</v>
      </c>
      <c r="N7" s="5">
        <v>542015479</v>
      </c>
      <c r="O7" s="5">
        <v>595903776</v>
      </c>
      <c r="P7" s="5">
        <v>611817495</v>
      </c>
      <c r="Q7" s="5">
        <v>722281113</v>
      </c>
      <c r="R7" s="5">
        <v>743082435</v>
      </c>
      <c r="S7" s="5">
        <v>690017035</v>
      </c>
      <c r="T7" s="5">
        <v>643883097</v>
      </c>
      <c r="U7" s="5">
        <v>580635895</v>
      </c>
      <c r="V7" s="5">
        <v>579578451</v>
      </c>
      <c r="W7" s="5">
        <v>482647456</v>
      </c>
      <c r="X7" s="5">
        <v>534670795</v>
      </c>
      <c r="Y7" s="5">
        <v>479972320</v>
      </c>
      <c r="Z7" s="7">
        <f t="shared" si="0"/>
        <v>11514606889</v>
      </c>
    </row>
    <row r="8" spans="1:26" x14ac:dyDescent="0.45">
      <c r="A8" s="4" t="s">
        <v>4</v>
      </c>
      <c r="B8" s="5">
        <v>22447923</v>
      </c>
      <c r="C8" s="5">
        <v>32144925</v>
      </c>
      <c r="D8" s="5">
        <v>43615999</v>
      </c>
      <c r="E8" s="5">
        <v>65586715</v>
      </c>
      <c r="F8" s="5">
        <v>91006773</v>
      </c>
      <c r="G8" s="5">
        <v>116886067</v>
      </c>
      <c r="H8" s="5">
        <v>132914928</v>
      </c>
      <c r="I8" s="5">
        <v>109677575</v>
      </c>
      <c r="J8" s="5">
        <v>155170930</v>
      </c>
      <c r="K8" s="5">
        <v>186497489</v>
      </c>
      <c r="L8" s="5">
        <v>272910057</v>
      </c>
      <c r="M8" s="5">
        <v>293207027</v>
      </c>
      <c r="N8" s="5">
        <v>293896820</v>
      </c>
      <c r="O8" s="5">
        <v>343138146</v>
      </c>
      <c r="P8" s="5">
        <v>345121800</v>
      </c>
      <c r="Q8" s="5">
        <v>433035784</v>
      </c>
      <c r="R8" s="5">
        <v>436248436</v>
      </c>
      <c r="S8" s="5">
        <v>415537387</v>
      </c>
      <c r="T8" s="5">
        <v>322687236</v>
      </c>
      <c r="U8" s="5">
        <v>327771778</v>
      </c>
      <c r="V8" s="5">
        <v>304676432</v>
      </c>
      <c r="W8" s="5">
        <v>284802550</v>
      </c>
      <c r="X8" s="5">
        <v>247842965</v>
      </c>
      <c r="Y8" s="5">
        <v>257066223</v>
      </c>
      <c r="Z8" s="7">
        <f t="shared" si="0"/>
        <v>5533891965</v>
      </c>
    </row>
    <row r="9" spans="1:26" x14ac:dyDescent="0.45">
      <c r="A9" s="4" t="s">
        <v>104</v>
      </c>
      <c r="B9" s="5">
        <v>125300513</v>
      </c>
      <c r="C9" s="5">
        <v>157095293</v>
      </c>
      <c r="D9" s="5">
        <v>182121946</v>
      </c>
      <c r="E9" s="5">
        <v>162418320</v>
      </c>
      <c r="F9" s="5">
        <v>197015626</v>
      </c>
      <c r="G9" s="5">
        <v>185273962</v>
      </c>
      <c r="H9" s="5">
        <v>156406522</v>
      </c>
      <c r="I9" s="5">
        <v>118853467</v>
      </c>
      <c r="J9" s="5">
        <v>131682949</v>
      </c>
      <c r="K9" s="5">
        <v>172286534</v>
      </c>
      <c r="L9" s="5">
        <v>164625326</v>
      </c>
      <c r="M9" s="5">
        <v>217396035</v>
      </c>
      <c r="N9" s="5">
        <v>215451646</v>
      </c>
      <c r="O9" s="5">
        <v>177676251</v>
      </c>
      <c r="P9" s="5">
        <v>193609723</v>
      </c>
      <c r="Q9" s="5">
        <v>250663826</v>
      </c>
      <c r="R9" s="5">
        <v>289666847</v>
      </c>
      <c r="S9" s="5">
        <v>235343738</v>
      </c>
      <c r="T9" s="5">
        <v>209490957</v>
      </c>
      <c r="U9" s="5">
        <v>284631006</v>
      </c>
      <c r="V9" s="5">
        <v>286478506</v>
      </c>
      <c r="W9" s="5">
        <v>275058685</v>
      </c>
      <c r="X9" s="5">
        <v>320979111</v>
      </c>
      <c r="Y9" s="5">
        <v>374849015</v>
      </c>
      <c r="Z9" s="7">
        <f t="shared" si="0"/>
        <v>5084375804</v>
      </c>
    </row>
    <row r="10" spans="1:26" x14ac:dyDescent="0.45">
      <c r="A10" s="4" t="s">
        <v>7</v>
      </c>
      <c r="B10" s="5">
        <v>190017077</v>
      </c>
      <c r="C10" s="5">
        <v>175825292</v>
      </c>
      <c r="D10" s="5">
        <v>214292392</v>
      </c>
      <c r="E10" s="5">
        <v>135158853</v>
      </c>
      <c r="F10" s="5">
        <v>162808687</v>
      </c>
      <c r="G10" s="5">
        <v>131216233</v>
      </c>
      <c r="H10" s="5">
        <v>131511741</v>
      </c>
      <c r="I10" s="5">
        <v>94817643</v>
      </c>
      <c r="J10" s="5">
        <v>100515067</v>
      </c>
      <c r="K10" s="5">
        <v>124292390</v>
      </c>
      <c r="L10" s="5">
        <v>187381527</v>
      </c>
      <c r="M10" s="5">
        <v>124812779</v>
      </c>
      <c r="N10" s="5">
        <v>105096271</v>
      </c>
      <c r="O10" s="5">
        <v>95592402</v>
      </c>
      <c r="P10" s="5">
        <v>146956297</v>
      </c>
      <c r="Q10" s="5">
        <v>131536354</v>
      </c>
      <c r="R10" s="5">
        <v>131687314</v>
      </c>
      <c r="S10" s="5">
        <v>116678889</v>
      </c>
      <c r="T10" s="5">
        <v>105663963</v>
      </c>
      <c r="U10" s="5">
        <v>102806378</v>
      </c>
      <c r="V10" s="5">
        <v>115179682</v>
      </c>
      <c r="W10" s="5">
        <v>49093115</v>
      </c>
      <c r="X10" s="5">
        <v>71624840</v>
      </c>
      <c r="Y10" s="5">
        <v>83912418</v>
      </c>
      <c r="Z10" s="7">
        <f t="shared" si="0"/>
        <v>3028477604</v>
      </c>
    </row>
    <row r="11" spans="1:26" x14ac:dyDescent="0.45">
      <c r="A11" s="4" t="s">
        <v>124</v>
      </c>
      <c r="B11" s="5">
        <v>36197437</v>
      </c>
      <c r="C11" s="5">
        <v>44781721</v>
      </c>
      <c r="D11" s="5">
        <v>64066922</v>
      </c>
      <c r="E11" s="5">
        <v>73503008</v>
      </c>
      <c r="F11" s="5">
        <v>81315661</v>
      </c>
      <c r="G11" s="5">
        <v>78645733</v>
      </c>
      <c r="H11" s="5">
        <v>64417429</v>
      </c>
      <c r="I11" s="5">
        <v>42039269</v>
      </c>
      <c r="J11" s="5">
        <v>65929700</v>
      </c>
      <c r="K11" s="5">
        <v>78084373</v>
      </c>
      <c r="L11" s="5">
        <v>64972670</v>
      </c>
      <c r="M11" s="5">
        <v>92032789</v>
      </c>
      <c r="N11" s="5">
        <v>82208251</v>
      </c>
      <c r="O11" s="5">
        <v>65167401</v>
      </c>
      <c r="P11" s="5">
        <v>78613316</v>
      </c>
      <c r="Q11" s="5">
        <v>108163949</v>
      </c>
      <c r="R11" s="5">
        <v>122375072</v>
      </c>
      <c r="S11" s="5">
        <v>96115903</v>
      </c>
      <c r="T11" s="5">
        <v>66627494</v>
      </c>
      <c r="U11" s="5">
        <v>100238842</v>
      </c>
      <c r="V11" s="5">
        <v>79579762</v>
      </c>
      <c r="W11" s="5">
        <v>63450143</v>
      </c>
      <c r="X11" s="5">
        <v>107001818</v>
      </c>
      <c r="Y11" s="5">
        <v>118214910</v>
      </c>
      <c r="Z11" s="7">
        <f t="shared" si="0"/>
        <v>1873743573</v>
      </c>
    </row>
    <row r="12" spans="1:26" x14ac:dyDescent="0.45">
      <c r="A12" s="4" t="s">
        <v>8</v>
      </c>
      <c r="B12" s="5">
        <v>16291541</v>
      </c>
      <c r="C12" s="5">
        <v>13932789</v>
      </c>
      <c r="D12" s="5">
        <v>21609804</v>
      </c>
      <c r="E12" s="5">
        <v>27054786</v>
      </c>
      <c r="F12" s="5">
        <v>29674250</v>
      </c>
      <c r="G12" s="5">
        <v>32423400</v>
      </c>
      <c r="H12" s="5">
        <v>23540981</v>
      </c>
      <c r="I12" s="5">
        <v>41397560</v>
      </c>
      <c r="J12" s="5">
        <v>36553714</v>
      </c>
      <c r="K12" s="5">
        <v>28317053</v>
      </c>
      <c r="L12" s="5">
        <v>81228960</v>
      </c>
      <c r="M12" s="5">
        <v>62623680</v>
      </c>
      <c r="N12" s="5">
        <v>89998161</v>
      </c>
      <c r="O12" s="5">
        <v>104441795</v>
      </c>
      <c r="P12" s="5">
        <v>71296599</v>
      </c>
      <c r="Q12" s="5">
        <v>102538644</v>
      </c>
      <c r="R12" s="5">
        <v>124577059</v>
      </c>
      <c r="S12" s="5">
        <v>105854495</v>
      </c>
      <c r="T12" s="5">
        <v>164092882</v>
      </c>
      <c r="U12" s="5">
        <v>95663929</v>
      </c>
      <c r="V12" s="5">
        <v>97556800</v>
      </c>
      <c r="W12" s="5">
        <v>93981687</v>
      </c>
      <c r="X12" s="5">
        <v>159434830</v>
      </c>
      <c r="Y12" s="5">
        <v>85723928</v>
      </c>
      <c r="Z12" s="7">
        <f t="shared" si="0"/>
        <v>1709809327</v>
      </c>
    </row>
    <row r="13" spans="1:26" x14ac:dyDescent="0.45">
      <c r="A13" s="4" t="s">
        <v>12</v>
      </c>
      <c r="B13" s="5">
        <v>28486908</v>
      </c>
      <c r="C13" s="5">
        <v>39825746</v>
      </c>
      <c r="D13" s="5">
        <v>38672105</v>
      </c>
      <c r="E13" s="5">
        <v>47188562</v>
      </c>
      <c r="F13" s="5">
        <v>46691884</v>
      </c>
      <c r="G13" s="5">
        <v>32743305</v>
      </c>
      <c r="H13" s="5">
        <v>34941484</v>
      </c>
      <c r="I13" s="5">
        <v>22501681</v>
      </c>
      <c r="J13" s="5">
        <v>20984979</v>
      </c>
      <c r="K13" s="5">
        <v>26173382</v>
      </c>
      <c r="L13" s="5">
        <v>29043487</v>
      </c>
      <c r="M13" s="5">
        <v>33401724</v>
      </c>
      <c r="N13" s="5">
        <v>37732613</v>
      </c>
      <c r="O13" s="5">
        <v>33554680</v>
      </c>
      <c r="P13" s="5">
        <v>31750555</v>
      </c>
      <c r="Q13" s="5">
        <v>33328902</v>
      </c>
      <c r="R13" s="5">
        <v>30893485</v>
      </c>
      <c r="S13" s="5">
        <v>35547189</v>
      </c>
      <c r="T13" s="5">
        <v>33489050</v>
      </c>
      <c r="U13" s="5">
        <v>35688205</v>
      </c>
      <c r="V13" s="5">
        <v>43988749</v>
      </c>
      <c r="W13" s="5">
        <v>26314798</v>
      </c>
      <c r="X13" s="5">
        <v>31308686</v>
      </c>
      <c r="Y13" s="5">
        <v>28802185</v>
      </c>
      <c r="Z13" s="7">
        <f t="shared" si="0"/>
        <v>803054344</v>
      </c>
    </row>
    <row r="14" spans="1:26" x14ac:dyDescent="0.45">
      <c r="A14" s="4" t="s">
        <v>130</v>
      </c>
      <c r="B14" s="5">
        <v>16263671</v>
      </c>
      <c r="C14" s="5">
        <v>14340082</v>
      </c>
      <c r="D14" s="5">
        <v>16424961</v>
      </c>
      <c r="E14" s="5">
        <v>10039479</v>
      </c>
      <c r="F14" s="5">
        <v>14250908</v>
      </c>
      <c r="G14" s="5">
        <v>17879239</v>
      </c>
      <c r="H14" s="5">
        <v>10729717</v>
      </c>
      <c r="I14" s="5">
        <v>10648070</v>
      </c>
      <c r="J14" s="5">
        <v>11146528</v>
      </c>
      <c r="K14" s="5">
        <v>19884318</v>
      </c>
      <c r="L14" s="5">
        <v>21898407</v>
      </c>
      <c r="M14" s="5">
        <v>25712900</v>
      </c>
      <c r="N14" s="5">
        <v>28305124</v>
      </c>
      <c r="O14" s="5">
        <v>29357510</v>
      </c>
      <c r="P14" s="5">
        <v>29381315</v>
      </c>
      <c r="Q14" s="5">
        <v>35703475</v>
      </c>
      <c r="R14" s="5">
        <v>30026135</v>
      </c>
      <c r="S14" s="5">
        <v>26966795</v>
      </c>
      <c r="T14" s="5">
        <v>28859756</v>
      </c>
      <c r="U14" s="5">
        <v>40003640</v>
      </c>
      <c r="V14" s="5">
        <v>44507222</v>
      </c>
      <c r="W14" s="5">
        <v>51645245</v>
      </c>
      <c r="X14" s="5">
        <v>36850764</v>
      </c>
      <c r="Y14" s="5">
        <v>37721697</v>
      </c>
      <c r="Z14" s="7">
        <f t="shared" si="0"/>
        <v>608546958</v>
      </c>
    </row>
    <row r="15" spans="1:26" x14ac:dyDescent="0.45">
      <c r="A15" s="4" t="s">
        <v>146</v>
      </c>
      <c r="B15" s="5">
        <v>29106898</v>
      </c>
      <c r="C15" s="5">
        <v>43807921</v>
      </c>
      <c r="D15" s="5">
        <v>30777668</v>
      </c>
      <c r="E15" s="5">
        <v>20652421</v>
      </c>
      <c r="F15" s="5">
        <v>26101829</v>
      </c>
      <c r="G15" s="5">
        <v>19988552</v>
      </c>
      <c r="H15" s="5">
        <v>12253973</v>
      </c>
      <c r="I15" s="5">
        <v>12976249</v>
      </c>
      <c r="J15" s="5">
        <v>12756262</v>
      </c>
      <c r="K15" s="5">
        <v>11751497</v>
      </c>
      <c r="L15" s="5">
        <v>12859200</v>
      </c>
      <c r="M15" s="5">
        <v>22002572</v>
      </c>
      <c r="N15" s="5">
        <v>23255846</v>
      </c>
      <c r="O15" s="5">
        <v>13915775</v>
      </c>
      <c r="P15" s="5">
        <v>13415729</v>
      </c>
      <c r="Q15" s="5">
        <v>19987075</v>
      </c>
      <c r="R15" s="5">
        <v>27698388</v>
      </c>
      <c r="S15" s="5">
        <v>15870306</v>
      </c>
      <c r="T15" s="5">
        <v>10149374</v>
      </c>
      <c r="U15" s="5">
        <v>23825783</v>
      </c>
      <c r="V15" s="5">
        <v>25089976</v>
      </c>
      <c r="W15" s="5">
        <v>25596055</v>
      </c>
      <c r="X15" s="5">
        <v>40305566</v>
      </c>
      <c r="Y15" s="5">
        <v>32689623</v>
      </c>
      <c r="Z15" s="7">
        <f t="shared" si="0"/>
        <v>526834538</v>
      </c>
    </row>
    <row r="16" spans="1:26" x14ac:dyDescent="0.45">
      <c r="A16" s="4" t="s">
        <v>108</v>
      </c>
      <c r="B16" s="5">
        <v>6147941</v>
      </c>
      <c r="C16" s="5">
        <v>11073962</v>
      </c>
      <c r="D16" s="5">
        <v>8696549</v>
      </c>
      <c r="E16" s="5">
        <v>12292749</v>
      </c>
      <c r="F16" s="5">
        <v>13775168</v>
      </c>
      <c r="G16" s="5">
        <v>13277755</v>
      </c>
      <c r="H16" s="5">
        <v>18226652</v>
      </c>
      <c r="I16" s="5">
        <v>13329383</v>
      </c>
      <c r="J16" s="5">
        <v>7095624</v>
      </c>
      <c r="K16" s="5">
        <v>18750822</v>
      </c>
      <c r="L16" s="5">
        <v>16622494</v>
      </c>
      <c r="M16" s="5">
        <v>17099749</v>
      </c>
      <c r="N16" s="5">
        <v>18920526</v>
      </c>
      <c r="O16" s="5">
        <v>19340582</v>
      </c>
      <c r="P16" s="5">
        <v>24301474</v>
      </c>
      <c r="Q16" s="5">
        <v>26702634</v>
      </c>
      <c r="R16" s="5">
        <v>27783099</v>
      </c>
      <c r="S16" s="5">
        <v>18674040</v>
      </c>
      <c r="T16" s="5">
        <v>25229414</v>
      </c>
      <c r="U16" s="5">
        <v>30301118</v>
      </c>
      <c r="V16" s="5">
        <v>26855634</v>
      </c>
      <c r="W16" s="5">
        <v>28580831</v>
      </c>
      <c r="X16" s="5">
        <v>30628950</v>
      </c>
      <c r="Y16" s="5">
        <v>34577572</v>
      </c>
      <c r="Z16" s="7">
        <f t="shared" si="0"/>
        <v>468284722</v>
      </c>
    </row>
    <row r="17" spans="1:26" x14ac:dyDescent="0.45">
      <c r="A17" s="4" t="s">
        <v>158</v>
      </c>
      <c r="B17" s="5">
        <v>3993959</v>
      </c>
      <c r="C17" s="5">
        <v>4816093</v>
      </c>
      <c r="D17" s="5">
        <v>10064097</v>
      </c>
      <c r="E17" s="5">
        <v>8466869</v>
      </c>
      <c r="F17" s="5">
        <v>17169616</v>
      </c>
      <c r="G17" s="5">
        <v>7456147</v>
      </c>
      <c r="H17" s="5">
        <v>5603546</v>
      </c>
      <c r="I17" s="5">
        <v>9286776</v>
      </c>
      <c r="J17" s="5">
        <v>7930869</v>
      </c>
      <c r="K17" s="5">
        <v>8186849</v>
      </c>
      <c r="L17" s="5">
        <v>10205770</v>
      </c>
      <c r="M17" s="5">
        <v>11870845</v>
      </c>
      <c r="N17" s="5">
        <v>11907515</v>
      </c>
      <c r="O17" s="5">
        <v>13557289</v>
      </c>
      <c r="P17" s="5">
        <v>9928079</v>
      </c>
      <c r="Q17" s="5">
        <v>19241275</v>
      </c>
      <c r="R17" s="5">
        <v>25729016</v>
      </c>
      <c r="S17" s="5">
        <v>23835830</v>
      </c>
      <c r="T17" s="5">
        <v>19621066</v>
      </c>
      <c r="U17" s="5">
        <v>26031867</v>
      </c>
      <c r="V17" s="5">
        <v>41849533</v>
      </c>
      <c r="W17" s="5">
        <v>31452034</v>
      </c>
      <c r="X17" s="5">
        <v>26903756</v>
      </c>
      <c r="Y17" s="5">
        <v>26606569</v>
      </c>
      <c r="Z17" s="7">
        <f t="shared" si="0"/>
        <v>381715265</v>
      </c>
    </row>
    <row r="18" spans="1:26" x14ac:dyDescent="0.45">
      <c r="A18" s="4" t="s">
        <v>171</v>
      </c>
      <c r="B18" s="5">
        <v>3880743</v>
      </c>
      <c r="C18" s="5">
        <v>2124003</v>
      </c>
      <c r="D18" s="5">
        <v>4699505</v>
      </c>
      <c r="E18" s="5">
        <v>3225854</v>
      </c>
      <c r="F18" s="5">
        <v>5893832</v>
      </c>
      <c r="G18" s="5">
        <v>3976754</v>
      </c>
      <c r="H18" s="5">
        <v>4461100</v>
      </c>
      <c r="I18" s="5">
        <v>9907073</v>
      </c>
      <c r="J18" s="5">
        <v>6885905</v>
      </c>
      <c r="K18" s="5">
        <v>8071724</v>
      </c>
      <c r="L18" s="5">
        <v>10212936</v>
      </c>
      <c r="M18" s="5">
        <v>11994316</v>
      </c>
      <c r="N18" s="5">
        <v>12522102</v>
      </c>
      <c r="O18" s="5">
        <v>15016144</v>
      </c>
      <c r="P18" s="5">
        <v>13676393</v>
      </c>
      <c r="Q18" s="5">
        <v>19845548</v>
      </c>
      <c r="R18" s="5">
        <v>18890226</v>
      </c>
      <c r="S18" s="5">
        <v>17756191</v>
      </c>
      <c r="T18" s="5">
        <v>17173529</v>
      </c>
      <c r="U18" s="5">
        <v>19794916</v>
      </c>
      <c r="V18" s="5">
        <v>27429758</v>
      </c>
      <c r="W18" s="5">
        <v>38105026</v>
      </c>
      <c r="X18" s="5">
        <v>26859726</v>
      </c>
      <c r="Y18" s="5">
        <v>32900356</v>
      </c>
      <c r="Z18" s="7">
        <f t="shared" si="0"/>
        <v>335303660</v>
      </c>
    </row>
    <row r="19" spans="1:26" x14ac:dyDescent="0.45">
      <c r="A19" s="4" t="s">
        <v>122</v>
      </c>
      <c r="B19" s="5">
        <v>8553112</v>
      </c>
      <c r="C19" s="5">
        <v>8768648</v>
      </c>
      <c r="D19" s="5">
        <v>8351009</v>
      </c>
      <c r="E19" s="5">
        <v>6399898</v>
      </c>
      <c r="F19" s="5">
        <v>10225215</v>
      </c>
      <c r="G19" s="5">
        <v>11210180</v>
      </c>
      <c r="H19" s="5">
        <v>11980813</v>
      </c>
      <c r="I19" s="5">
        <v>9251284</v>
      </c>
      <c r="J19" s="5">
        <v>7697409</v>
      </c>
      <c r="K19" s="5">
        <v>8885507</v>
      </c>
      <c r="L19" s="5">
        <v>13219552</v>
      </c>
      <c r="M19" s="5">
        <v>13096652</v>
      </c>
      <c r="N19" s="5">
        <v>12721505</v>
      </c>
      <c r="O19" s="5">
        <v>10929864</v>
      </c>
      <c r="P19" s="5">
        <v>7976669</v>
      </c>
      <c r="Q19" s="5">
        <v>10689265</v>
      </c>
      <c r="R19" s="5">
        <v>12364600</v>
      </c>
      <c r="S19" s="5">
        <v>12480488</v>
      </c>
      <c r="T19" s="5">
        <v>16298498</v>
      </c>
      <c r="U19" s="5">
        <v>11537676</v>
      </c>
      <c r="V19" s="5">
        <v>10439531</v>
      </c>
      <c r="W19" s="5">
        <v>13848293</v>
      </c>
      <c r="X19" s="5">
        <v>15887925</v>
      </c>
      <c r="Y19" s="5">
        <v>13079210</v>
      </c>
      <c r="Z19" s="7">
        <f t="shared" si="0"/>
        <v>265892803</v>
      </c>
    </row>
    <row r="20" spans="1:26" x14ac:dyDescent="0.45">
      <c r="A20" s="4" t="s">
        <v>143</v>
      </c>
      <c r="B20" s="5">
        <v>4806467</v>
      </c>
      <c r="C20" s="5">
        <v>5677681</v>
      </c>
      <c r="D20" s="5">
        <v>8371540</v>
      </c>
      <c r="E20" s="5">
        <v>9641174</v>
      </c>
      <c r="F20" s="5">
        <v>5401464</v>
      </c>
      <c r="G20" s="5">
        <v>8149376</v>
      </c>
      <c r="H20" s="5">
        <v>6503076</v>
      </c>
      <c r="I20" s="5">
        <v>2639881</v>
      </c>
      <c r="J20" s="5">
        <v>2210564</v>
      </c>
      <c r="K20" s="5">
        <v>3440259</v>
      </c>
      <c r="L20" s="5">
        <v>3061943</v>
      </c>
      <c r="M20" s="5">
        <v>3340929</v>
      </c>
      <c r="N20" s="5">
        <v>8592537</v>
      </c>
      <c r="O20" s="5">
        <v>2406424</v>
      </c>
      <c r="P20" s="5">
        <v>4574838</v>
      </c>
      <c r="Q20" s="5">
        <v>4267671</v>
      </c>
      <c r="R20" s="5">
        <v>4152244</v>
      </c>
      <c r="S20" s="5">
        <v>3598125</v>
      </c>
      <c r="T20" s="5">
        <v>5477039</v>
      </c>
      <c r="U20" s="5">
        <v>10251021</v>
      </c>
      <c r="V20" s="5">
        <v>12405546</v>
      </c>
      <c r="W20" s="5">
        <v>10901240</v>
      </c>
      <c r="X20" s="5">
        <v>24962900</v>
      </c>
      <c r="Y20" s="5">
        <v>66052119</v>
      </c>
      <c r="Z20" s="7">
        <f t="shared" si="0"/>
        <v>220886058</v>
      </c>
    </row>
    <row r="21" spans="1:26" x14ac:dyDescent="0.45">
      <c r="A21" s="4" t="s">
        <v>164</v>
      </c>
      <c r="B21" s="5">
        <v>5520114</v>
      </c>
      <c r="C21" s="5">
        <v>4728445</v>
      </c>
      <c r="D21" s="5">
        <v>9128494</v>
      </c>
      <c r="E21" s="5">
        <v>5214825</v>
      </c>
      <c r="F21" s="5">
        <v>14163149</v>
      </c>
      <c r="G21" s="5">
        <v>10451207</v>
      </c>
      <c r="H21" s="5">
        <v>9582687</v>
      </c>
      <c r="I21" s="5">
        <v>6323923</v>
      </c>
      <c r="J21" s="5">
        <v>5327709</v>
      </c>
      <c r="K21" s="5">
        <v>7715823</v>
      </c>
      <c r="L21" s="5">
        <v>6412183</v>
      </c>
      <c r="M21" s="5">
        <v>7953137</v>
      </c>
      <c r="N21" s="5">
        <v>10995011</v>
      </c>
      <c r="O21" s="5">
        <v>7530901</v>
      </c>
      <c r="P21" s="5">
        <v>7342304</v>
      </c>
      <c r="Q21" s="5">
        <v>5701394</v>
      </c>
      <c r="R21" s="5">
        <v>5087140</v>
      </c>
      <c r="S21" s="5">
        <v>9617131</v>
      </c>
      <c r="T21" s="5">
        <v>6400313</v>
      </c>
      <c r="U21" s="5">
        <v>8026446</v>
      </c>
      <c r="V21" s="5">
        <v>8445758</v>
      </c>
      <c r="W21" s="5">
        <v>12430843</v>
      </c>
      <c r="X21" s="5">
        <v>10117127</v>
      </c>
      <c r="Y21" s="5">
        <v>10459308</v>
      </c>
      <c r="Z21" s="7">
        <f t="shared" si="0"/>
        <v>194675372</v>
      </c>
    </row>
    <row r="22" spans="1:26" x14ac:dyDescent="0.45">
      <c r="A22" s="4" t="s">
        <v>11</v>
      </c>
      <c r="B22" s="5">
        <v>5920544</v>
      </c>
      <c r="C22" s="5">
        <v>4471870</v>
      </c>
      <c r="D22" s="5">
        <v>5741583</v>
      </c>
      <c r="E22" s="5">
        <v>4710745</v>
      </c>
      <c r="F22" s="5">
        <v>7272164</v>
      </c>
      <c r="G22" s="5">
        <v>7510402</v>
      </c>
      <c r="H22" s="5">
        <v>7261853</v>
      </c>
      <c r="I22" s="5">
        <v>4833217</v>
      </c>
      <c r="J22" s="5">
        <v>3612649</v>
      </c>
      <c r="K22" s="5">
        <v>6263132</v>
      </c>
      <c r="L22" s="5">
        <v>7438552</v>
      </c>
      <c r="M22" s="5">
        <v>5364298</v>
      </c>
      <c r="N22" s="5">
        <v>5999909</v>
      </c>
      <c r="O22" s="5">
        <v>8629689</v>
      </c>
      <c r="P22" s="5">
        <v>8382819</v>
      </c>
      <c r="Q22" s="5">
        <v>8023172</v>
      </c>
      <c r="R22" s="5">
        <v>6340534</v>
      </c>
      <c r="S22" s="5">
        <v>7675262</v>
      </c>
      <c r="T22" s="5">
        <v>8758569</v>
      </c>
      <c r="U22" s="5">
        <v>8799587</v>
      </c>
      <c r="V22" s="5">
        <v>5164281</v>
      </c>
      <c r="W22" s="5">
        <v>10107171</v>
      </c>
      <c r="X22" s="5">
        <v>6858251</v>
      </c>
      <c r="Y22" s="5">
        <v>4847504</v>
      </c>
      <c r="Z22" s="7">
        <f t="shared" si="0"/>
        <v>159987757</v>
      </c>
    </row>
    <row r="23" spans="1:26" x14ac:dyDescent="0.45">
      <c r="A23" s="4" t="s">
        <v>155</v>
      </c>
      <c r="B23" s="5">
        <v>1274774</v>
      </c>
      <c r="C23" s="5">
        <v>2434135</v>
      </c>
      <c r="D23" s="5">
        <v>9151508</v>
      </c>
      <c r="E23" s="5">
        <v>1206789</v>
      </c>
      <c r="F23" s="5">
        <v>3619021</v>
      </c>
      <c r="G23" s="5">
        <v>3433693</v>
      </c>
      <c r="H23" s="5">
        <v>2460520</v>
      </c>
      <c r="I23" s="5">
        <v>3289570</v>
      </c>
      <c r="J23" s="5">
        <v>1465989</v>
      </c>
      <c r="K23" s="5">
        <v>1927516</v>
      </c>
      <c r="L23" s="5">
        <v>2649300</v>
      </c>
      <c r="M23" s="5">
        <v>5547067</v>
      </c>
      <c r="N23" s="5">
        <v>5223575</v>
      </c>
      <c r="O23" s="5">
        <v>2601239</v>
      </c>
      <c r="P23" s="5">
        <v>8210260</v>
      </c>
      <c r="Q23" s="5">
        <v>4894406</v>
      </c>
      <c r="R23" s="5">
        <v>11441769</v>
      </c>
      <c r="S23" s="5">
        <v>7130596</v>
      </c>
      <c r="T23" s="5">
        <v>7956436</v>
      </c>
      <c r="U23" s="5">
        <v>11165682</v>
      </c>
      <c r="V23" s="5">
        <v>14886059</v>
      </c>
      <c r="W23" s="5">
        <v>7563075</v>
      </c>
      <c r="X23" s="5">
        <v>8074477</v>
      </c>
      <c r="Y23" s="5">
        <v>16185702</v>
      </c>
      <c r="Z23" s="7">
        <f t="shared" si="0"/>
        <v>143793158</v>
      </c>
    </row>
    <row r="24" spans="1:26" x14ac:dyDescent="0.45">
      <c r="A24" s="4" t="s">
        <v>5</v>
      </c>
      <c r="B24" s="5">
        <v>7470754</v>
      </c>
      <c r="C24" s="5">
        <v>7906641</v>
      </c>
      <c r="D24" s="5">
        <v>7706236</v>
      </c>
      <c r="E24" s="5">
        <v>9041226</v>
      </c>
      <c r="F24" s="5">
        <v>7225753</v>
      </c>
      <c r="G24" s="5">
        <v>8149712</v>
      </c>
      <c r="H24" s="5">
        <v>8025469</v>
      </c>
      <c r="I24" s="5">
        <v>6262627</v>
      </c>
      <c r="J24" s="5">
        <v>7069413</v>
      </c>
      <c r="K24" s="5">
        <v>9127626</v>
      </c>
      <c r="L24" s="5">
        <v>6449514</v>
      </c>
      <c r="M24" s="5">
        <v>6845353</v>
      </c>
      <c r="N24" s="5">
        <v>6414409</v>
      </c>
      <c r="O24" s="5">
        <v>6655887</v>
      </c>
      <c r="P24" s="5">
        <v>4985468</v>
      </c>
      <c r="Q24" s="5">
        <v>8135388</v>
      </c>
      <c r="R24" s="5">
        <v>9684658</v>
      </c>
      <c r="S24" s="5">
        <v>2511731</v>
      </c>
      <c r="T24" s="5">
        <v>625207</v>
      </c>
      <c r="U24" s="5">
        <v>1496150</v>
      </c>
      <c r="V24" s="5">
        <v>1022636</v>
      </c>
      <c r="W24" s="5">
        <v>1106983</v>
      </c>
      <c r="X24" s="5">
        <v>692220</v>
      </c>
      <c r="Y24" s="5">
        <v>514874</v>
      </c>
      <c r="Z24" s="7">
        <f t="shared" si="0"/>
        <v>135125935</v>
      </c>
    </row>
    <row r="25" spans="1:26" x14ac:dyDescent="0.45">
      <c r="A25" s="4" t="s">
        <v>65</v>
      </c>
      <c r="B25" s="5">
        <v>600770</v>
      </c>
      <c r="C25" s="5">
        <v>1015251</v>
      </c>
      <c r="D25" s="5">
        <v>552694</v>
      </c>
      <c r="E25" s="5">
        <v>1104858</v>
      </c>
      <c r="F25" s="5">
        <v>793771</v>
      </c>
      <c r="G25" s="5">
        <v>2090517</v>
      </c>
      <c r="H25" s="5">
        <v>1318578</v>
      </c>
      <c r="I25" s="5">
        <v>1810652</v>
      </c>
      <c r="J25" s="5">
        <v>886366</v>
      </c>
      <c r="K25" s="5">
        <v>889776</v>
      </c>
      <c r="L25" s="5">
        <v>2279964</v>
      </c>
      <c r="M25" s="5">
        <v>2292194</v>
      </c>
      <c r="N25" s="5">
        <v>2405508</v>
      </c>
      <c r="O25" s="5">
        <v>3736785</v>
      </c>
      <c r="P25" s="5">
        <v>3305875</v>
      </c>
      <c r="Q25" s="5">
        <v>6473156</v>
      </c>
      <c r="R25" s="5">
        <v>4871267</v>
      </c>
      <c r="S25" s="5">
        <v>6020597</v>
      </c>
      <c r="T25" s="5">
        <v>6269076</v>
      </c>
      <c r="U25" s="5">
        <v>12437358</v>
      </c>
      <c r="V25" s="5">
        <v>13189537</v>
      </c>
      <c r="W25" s="5">
        <v>7912475</v>
      </c>
      <c r="X25" s="5">
        <v>9312502</v>
      </c>
      <c r="Y25" s="5">
        <v>10049028</v>
      </c>
      <c r="Z25" s="7">
        <f t="shared" si="0"/>
        <v>101618555</v>
      </c>
    </row>
    <row r="26" spans="1:26" x14ac:dyDescent="0.45">
      <c r="A26" s="4" t="s">
        <v>3</v>
      </c>
      <c r="B26" s="5">
        <v>600770</v>
      </c>
      <c r="C26" s="5">
        <v>940951</v>
      </c>
      <c r="D26" s="5">
        <v>552694</v>
      </c>
      <c r="E26" s="5">
        <v>1086670</v>
      </c>
      <c r="F26" s="5">
        <v>793771</v>
      </c>
      <c r="G26" s="5">
        <v>2005754</v>
      </c>
      <c r="H26" s="5">
        <v>1297076</v>
      </c>
      <c r="I26" s="5">
        <v>1514002</v>
      </c>
      <c r="J26" s="5">
        <v>826218</v>
      </c>
      <c r="K26" s="5">
        <v>886276</v>
      </c>
      <c r="L26" s="5">
        <v>2253081</v>
      </c>
      <c r="M26" s="5">
        <v>2204912</v>
      </c>
      <c r="N26" s="5">
        <v>2379443</v>
      </c>
      <c r="O26" s="5">
        <v>3724485</v>
      </c>
      <c r="P26" s="5">
        <v>3247075</v>
      </c>
      <c r="Q26" s="5">
        <v>6361975</v>
      </c>
      <c r="R26" s="5">
        <v>4866467</v>
      </c>
      <c r="S26" s="5">
        <v>5994629</v>
      </c>
      <c r="T26" s="5">
        <v>6253106</v>
      </c>
      <c r="U26" s="5">
        <v>12381843</v>
      </c>
      <c r="V26" s="5">
        <v>13181144</v>
      </c>
      <c r="W26" s="5">
        <v>7905049</v>
      </c>
      <c r="X26" s="5">
        <v>9291666</v>
      </c>
      <c r="Y26" s="5">
        <v>9978238</v>
      </c>
      <c r="Z26" s="7">
        <f t="shared" si="0"/>
        <v>100527295</v>
      </c>
    </row>
    <row r="27" spans="1:26" x14ac:dyDescent="0.45">
      <c r="A27" s="4" t="s">
        <v>116</v>
      </c>
      <c r="B27" s="5">
        <v>2934870</v>
      </c>
      <c r="C27" s="5">
        <v>5127787</v>
      </c>
      <c r="D27" s="5">
        <v>2919663</v>
      </c>
      <c r="E27" s="5">
        <v>2525178</v>
      </c>
      <c r="F27" s="5">
        <v>973362</v>
      </c>
      <c r="G27" s="5">
        <v>1953568</v>
      </c>
      <c r="H27" s="5">
        <v>1639242</v>
      </c>
      <c r="I27" s="5">
        <v>707864</v>
      </c>
      <c r="J27" s="5">
        <v>1164294</v>
      </c>
      <c r="K27" s="5">
        <v>1752287</v>
      </c>
      <c r="L27" s="5">
        <v>1401096</v>
      </c>
      <c r="M27" s="5">
        <v>4341874</v>
      </c>
      <c r="N27" s="5">
        <v>3025653</v>
      </c>
      <c r="O27" s="5">
        <v>6287407</v>
      </c>
      <c r="P27" s="5">
        <v>2141893</v>
      </c>
      <c r="Q27" s="5">
        <v>3666191</v>
      </c>
      <c r="R27" s="5">
        <v>7942251</v>
      </c>
      <c r="S27" s="5">
        <v>2900625</v>
      </c>
      <c r="T27" s="5">
        <v>3837524</v>
      </c>
      <c r="U27" s="5">
        <v>4085098</v>
      </c>
      <c r="V27" s="5">
        <v>3888997</v>
      </c>
      <c r="W27" s="5">
        <v>5802772</v>
      </c>
      <c r="X27" s="5">
        <v>4355220</v>
      </c>
      <c r="Y27" s="5">
        <v>4549025</v>
      </c>
      <c r="Z27" s="7">
        <f t="shared" si="0"/>
        <v>79923741</v>
      </c>
    </row>
    <row r="28" spans="1:26" x14ac:dyDescent="0.45">
      <c r="A28" s="4" t="s">
        <v>78</v>
      </c>
      <c r="B28" s="5">
        <v>4651341</v>
      </c>
      <c r="C28" s="5">
        <v>6614392</v>
      </c>
      <c r="D28" s="5">
        <v>5901887</v>
      </c>
      <c r="E28" s="5">
        <v>2634851</v>
      </c>
      <c r="F28" s="5">
        <v>3726996</v>
      </c>
      <c r="G28" s="5">
        <v>15044056</v>
      </c>
      <c r="H28" s="5">
        <v>7132577</v>
      </c>
      <c r="I28" s="5">
        <v>2528146</v>
      </c>
      <c r="J28" s="5">
        <v>3142605</v>
      </c>
      <c r="K28" s="5">
        <v>1555142</v>
      </c>
      <c r="L28" s="5">
        <v>2123189</v>
      </c>
      <c r="M28" s="5">
        <v>4486887</v>
      </c>
      <c r="N28" s="5">
        <v>2769626</v>
      </c>
      <c r="O28" s="5">
        <v>2016006</v>
      </c>
      <c r="P28" s="5">
        <v>1283496</v>
      </c>
      <c r="Q28" s="5">
        <v>3008897</v>
      </c>
      <c r="R28" s="5">
        <v>2909937</v>
      </c>
      <c r="S28" s="5">
        <v>1325866</v>
      </c>
      <c r="T28" s="5">
        <v>130479</v>
      </c>
      <c r="U28" s="5">
        <v>403868</v>
      </c>
      <c r="V28" s="5">
        <v>2303673</v>
      </c>
      <c r="W28" s="5">
        <v>740598</v>
      </c>
      <c r="X28" s="5">
        <v>1012410</v>
      </c>
      <c r="Y28" s="5">
        <v>1516408</v>
      </c>
      <c r="Z28" s="7">
        <f t="shared" si="0"/>
        <v>78963333</v>
      </c>
    </row>
    <row r="29" spans="1:26" x14ac:dyDescent="0.45">
      <c r="A29" s="4" t="s">
        <v>79</v>
      </c>
      <c r="B29" s="5">
        <v>4621988</v>
      </c>
      <c r="C29" s="5">
        <v>6588580</v>
      </c>
      <c r="D29" s="5">
        <v>5809599</v>
      </c>
      <c r="E29" s="5">
        <v>2503922</v>
      </c>
      <c r="F29" s="5">
        <v>3459321</v>
      </c>
      <c r="G29" s="5">
        <v>14890114</v>
      </c>
      <c r="H29" s="5">
        <v>7107787</v>
      </c>
      <c r="I29" s="5">
        <v>2170019</v>
      </c>
      <c r="J29" s="5">
        <v>3113164</v>
      </c>
      <c r="K29" s="5">
        <v>882295</v>
      </c>
      <c r="L29" s="5">
        <v>1538219</v>
      </c>
      <c r="M29" s="5">
        <v>3550639</v>
      </c>
      <c r="N29" s="5">
        <v>2747525</v>
      </c>
      <c r="O29" s="5">
        <v>2006048</v>
      </c>
      <c r="P29" s="5">
        <v>1194430</v>
      </c>
      <c r="Q29" s="5">
        <v>2611957</v>
      </c>
      <c r="R29" s="5">
        <v>2812739</v>
      </c>
      <c r="S29" s="5">
        <v>1299041</v>
      </c>
      <c r="T29" s="5">
        <v>65728</v>
      </c>
      <c r="U29" s="5">
        <v>220432</v>
      </c>
      <c r="V29" s="5">
        <v>2277467</v>
      </c>
      <c r="W29" s="5">
        <v>619868</v>
      </c>
      <c r="X29" s="5">
        <v>994461</v>
      </c>
      <c r="Y29" s="5">
        <v>1294790</v>
      </c>
      <c r="Z29" s="7">
        <f t="shared" si="0"/>
        <v>74380133</v>
      </c>
    </row>
    <row r="30" spans="1:26" x14ac:dyDescent="0.45">
      <c r="A30" s="4" t="s">
        <v>13</v>
      </c>
      <c r="B30" s="5">
        <v>23741</v>
      </c>
      <c r="C30" s="5">
        <v>23892</v>
      </c>
      <c r="D30" s="5">
        <v>44450</v>
      </c>
      <c r="E30" s="5">
        <v>229276</v>
      </c>
      <c r="F30" s="5">
        <v>289449</v>
      </c>
      <c r="G30" s="5">
        <v>1105121</v>
      </c>
      <c r="H30" s="5">
        <v>2039583</v>
      </c>
      <c r="I30" s="5">
        <v>1941970</v>
      </c>
      <c r="J30" s="5">
        <v>1306070</v>
      </c>
      <c r="K30" s="5">
        <v>1566511</v>
      </c>
      <c r="L30" s="5">
        <v>3026856</v>
      </c>
      <c r="M30" s="5">
        <v>1473287</v>
      </c>
      <c r="N30" s="5">
        <v>784309</v>
      </c>
      <c r="O30" s="5">
        <v>1081521</v>
      </c>
      <c r="P30" s="5">
        <v>675258</v>
      </c>
      <c r="Q30" s="5">
        <v>3210845</v>
      </c>
      <c r="R30" s="5">
        <v>1966502</v>
      </c>
      <c r="S30" s="5">
        <v>2735698</v>
      </c>
      <c r="T30" s="5">
        <v>4987695</v>
      </c>
      <c r="U30" s="5">
        <v>4360830</v>
      </c>
      <c r="V30" s="5">
        <v>7788946</v>
      </c>
      <c r="W30" s="5">
        <v>10486948</v>
      </c>
      <c r="X30" s="5">
        <v>10578416</v>
      </c>
      <c r="Y30" s="5">
        <v>10094082</v>
      </c>
      <c r="Z30" s="7">
        <f t="shared" si="0"/>
        <v>71821256</v>
      </c>
    </row>
    <row r="31" spans="1:26" x14ac:dyDescent="0.45">
      <c r="A31" s="4" t="s">
        <v>118</v>
      </c>
      <c r="B31" s="5">
        <v>1697464</v>
      </c>
      <c r="C31" s="5">
        <v>1282824</v>
      </c>
      <c r="D31" s="5">
        <v>726357</v>
      </c>
      <c r="E31" s="5">
        <v>554830</v>
      </c>
      <c r="F31" s="5">
        <v>694747</v>
      </c>
      <c r="G31" s="5">
        <v>1114009</v>
      </c>
      <c r="H31" s="5">
        <v>2207917</v>
      </c>
      <c r="I31" s="5">
        <v>619240</v>
      </c>
      <c r="J31" s="5">
        <v>902976</v>
      </c>
      <c r="K31" s="5">
        <v>2994586</v>
      </c>
      <c r="L31" s="5">
        <v>2453474</v>
      </c>
      <c r="M31" s="5">
        <v>3767389</v>
      </c>
      <c r="N31" s="5">
        <v>1647724</v>
      </c>
      <c r="O31" s="5">
        <v>1853777</v>
      </c>
      <c r="P31" s="5">
        <v>2474980</v>
      </c>
      <c r="Q31" s="5">
        <v>2828501</v>
      </c>
      <c r="R31" s="5">
        <v>4085346</v>
      </c>
      <c r="S31" s="5">
        <v>7644935</v>
      </c>
      <c r="T31" s="5">
        <v>7623828</v>
      </c>
      <c r="U31" s="5">
        <v>5972541</v>
      </c>
      <c r="V31" s="5">
        <v>4716362</v>
      </c>
      <c r="W31" s="5">
        <v>3356924</v>
      </c>
      <c r="X31" s="5">
        <v>2209764</v>
      </c>
      <c r="Y31" s="5">
        <v>2407950</v>
      </c>
      <c r="Z31" s="7">
        <f t="shared" si="0"/>
        <v>65838445</v>
      </c>
    </row>
    <row r="32" spans="1:26" x14ac:dyDescent="0.45">
      <c r="A32" s="4" t="s">
        <v>173</v>
      </c>
      <c r="B32" s="5">
        <v>2199192</v>
      </c>
      <c r="C32" s="5">
        <v>2423096</v>
      </c>
      <c r="D32" s="5">
        <v>3091293</v>
      </c>
      <c r="E32" s="5">
        <v>2075566</v>
      </c>
      <c r="F32" s="5">
        <v>2269546</v>
      </c>
      <c r="G32" s="5">
        <v>4583027</v>
      </c>
      <c r="H32" s="5">
        <v>5207913</v>
      </c>
      <c r="I32" s="5">
        <v>953424</v>
      </c>
      <c r="J32" s="5">
        <v>2956915</v>
      </c>
      <c r="K32" s="5">
        <v>2238215</v>
      </c>
      <c r="L32" s="5">
        <v>1342106</v>
      </c>
      <c r="M32" s="5">
        <v>2612614</v>
      </c>
      <c r="N32" s="5">
        <v>3103331</v>
      </c>
      <c r="O32" s="5">
        <v>2185690</v>
      </c>
      <c r="P32" s="5">
        <v>1808646</v>
      </c>
      <c r="Q32" s="5">
        <v>1781672</v>
      </c>
      <c r="R32" s="5">
        <v>1615049</v>
      </c>
      <c r="S32" s="5">
        <v>814881</v>
      </c>
      <c r="T32" s="5">
        <v>1183254</v>
      </c>
      <c r="U32" s="5">
        <v>1770495</v>
      </c>
      <c r="V32" s="5">
        <v>4053827</v>
      </c>
      <c r="W32" s="5">
        <v>5901204</v>
      </c>
      <c r="X32" s="5">
        <v>3896412</v>
      </c>
      <c r="Y32" s="5">
        <v>2608798</v>
      </c>
      <c r="Z32" s="7">
        <f t="shared" si="0"/>
        <v>62676166</v>
      </c>
    </row>
    <row r="33" spans="1:26" x14ac:dyDescent="0.45">
      <c r="A33" s="4" t="s">
        <v>111</v>
      </c>
      <c r="B33" s="5">
        <v>3031115</v>
      </c>
      <c r="C33" s="5">
        <v>1811032</v>
      </c>
      <c r="D33" s="5">
        <v>1207109</v>
      </c>
      <c r="E33" s="5">
        <v>2473205</v>
      </c>
      <c r="F33" s="5">
        <v>1703298</v>
      </c>
      <c r="G33" s="5">
        <v>4955439</v>
      </c>
      <c r="H33" s="5">
        <v>2671201</v>
      </c>
      <c r="I33" s="5">
        <v>2346853</v>
      </c>
      <c r="J33" s="5">
        <v>1286139</v>
      </c>
      <c r="K33" s="5">
        <v>3675549</v>
      </c>
      <c r="L33" s="5">
        <v>4734140</v>
      </c>
      <c r="M33" s="5">
        <v>2720758</v>
      </c>
      <c r="N33" s="5">
        <v>1521038</v>
      </c>
      <c r="O33" s="5">
        <v>578605</v>
      </c>
      <c r="P33" s="5">
        <v>610736</v>
      </c>
      <c r="Q33" s="5">
        <v>1708172</v>
      </c>
      <c r="R33" s="5">
        <v>3713877</v>
      </c>
      <c r="S33" s="5">
        <v>3212682</v>
      </c>
      <c r="T33" s="5">
        <v>1464549</v>
      </c>
      <c r="U33" s="5">
        <v>1777457</v>
      </c>
      <c r="V33" s="5">
        <v>1785996</v>
      </c>
      <c r="W33" s="5">
        <v>5688892</v>
      </c>
      <c r="X33" s="5">
        <v>3420079</v>
      </c>
      <c r="Y33" s="5">
        <v>1831415</v>
      </c>
      <c r="Z33" s="7">
        <f t="shared" si="0"/>
        <v>59929336</v>
      </c>
    </row>
    <row r="34" spans="1:26" x14ac:dyDescent="0.45">
      <c r="A34" s="4" t="s">
        <v>9</v>
      </c>
      <c r="B34" s="5">
        <v>1834024</v>
      </c>
      <c r="C34" s="5">
        <v>1755303</v>
      </c>
      <c r="D34" s="5">
        <v>1846766</v>
      </c>
      <c r="E34" s="5">
        <v>1347184</v>
      </c>
      <c r="F34" s="5">
        <v>2343509</v>
      </c>
      <c r="G34" s="5">
        <v>1641476</v>
      </c>
      <c r="H34" s="5">
        <v>2025408</v>
      </c>
      <c r="I34" s="5">
        <v>974892</v>
      </c>
      <c r="J34" s="5">
        <v>2057312</v>
      </c>
      <c r="K34" s="5">
        <v>1702532</v>
      </c>
      <c r="L34" s="5">
        <v>2496249</v>
      </c>
      <c r="M34" s="5">
        <v>1276945</v>
      </c>
      <c r="N34" s="5">
        <v>2047092</v>
      </c>
      <c r="O34" s="5">
        <v>2292125</v>
      </c>
      <c r="P34" s="5">
        <v>2263526</v>
      </c>
      <c r="Q34" s="5">
        <v>2045501</v>
      </c>
      <c r="R34" s="5">
        <v>1140402</v>
      </c>
      <c r="S34" s="5">
        <v>1816921</v>
      </c>
      <c r="T34" s="5">
        <v>1228837</v>
      </c>
      <c r="U34" s="5">
        <v>1973259</v>
      </c>
      <c r="V34" s="5">
        <v>3458015</v>
      </c>
      <c r="W34" s="5">
        <v>4590864</v>
      </c>
      <c r="X34" s="5">
        <v>3645241</v>
      </c>
      <c r="Y34" s="5">
        <v>5277718</v>
      </c>
      <c r="Z34" s="7">
        <f t="shared" si="0"/>
        <v>53081101</v>
      </c>
    </row>
    <row r="35" spans="1:26" x14ac:dyDescent="0.45">
      <c r="A35" s="4" t="s">
        <v>207</v>
      </c>
      <c r="B35" s="5">
        <v>2154984</v>
      </c>
      <c r="C35" s="5">
        <v>2255597</v>
      </c>
      <c r="D35" s="5">
        <v>3047503</v>
      </c>
      <c r="E35" s="5">
        <v>1730443</v>
      </c>
      <c r="F35" s="5">
        <v>1979945</v>
      </c>
      <c r="G35" s="5">
        <v>3497830</v>
      </c>
      <c r="H35" s="5">
        <v>4562413</v>
      </c>
      <c r="I35" s="5">
        <v>508288</v>
      </c>
      <c r="J35" s="5">
        <v>2616505</v>
      </c>
      <c r="K35" s="5">
        <v>1816273</v>
      </c>
      <c r="L35" s="5">
        <v>896118</v>
      </c>
      <c r="M35" s="5">
        <v>2101772</v>
      </c>
      <c r="N35" s="5">
        <v>1345285</v>
      </c>
      <c r="O35" s="5">
        <v>1969622</v>
      </c>
      <c r="P35" s="5">
        <v>1579132</v>
      </c>
      <c r="Q35" s="5">
        <v>1228831</v>
      </c>
      <c r="R35" s="5">
        <v>1284189</v>
      </c>
      <c r="S35" s="5">
        <v>464655</v>
      </c>
      <c r="T35" s="5">
        <v>635803</v>
      </c>
      <c r="U35" s="5">
        <v>1646200</v>
      </c>
      <c r="V35" s="5">
        <v>3287550</v>
      </c>
      <c r="W35" s="5">
        <v>4277768</v>
      </c>
      <c r="X35" s="5">
        <v>2221890</v>
      </c>
      <c r="Y35" s="5">
        <v>1682248</v>
      </c>
      <c r="Z35" s="7">
        <f t="shared" ref="Z35:Z66" si="1">SUM(B35:Y35)</f>
        <v>48790844</v>
      </c>
    </row>
    <row r="36" spans="1:26" x14ac:dyDescent="0.45">
      <c r="A36" s="4" t="s">
        <v>210</v>
      </c>
      <c r="B36" s="5">
        <v>1966635</v>
      </c>
      <c r="C36" s="5">
        <v>1729158</v>
      </c>
      <c r="D36" s="5">
        <v>2861532</v>
      </c>
      <c r="E36" s="5">
        <v>1306002</v>
      </c>
      <c r="F36" s="5">
        <v>1913778</v>
      </c>
      <c r="G36" s="5">
        <v>3072643</v>
      </c>
      <c r="H36" s="5">
        <v>2336737</v>
      </c>
      <c r="I36" s="5">
        <v>372787</v>
      </c>
      <c r="J36" s="5">
        <v>2005085</v>
      </c>
      <c r="K36" s="5">
        <v>1673210</v>
      </c>
      <c r="L36" s="5">
        <v>866118</v>
      </c>
      <c r="M36" s="5">
        <v>2034425</v>
      </c>
      <c r="N36" s="5">
        <v>1055486</v>
      </c>
      <c r="O36" s="5">
        <v>1921861</v>
      </c>
      <c r="P36" s="5">
        <v>1365651</v>
      </c>
      <c r="Q36" s="5">
        <v>1086647</v>
      </c>
      <c r="R36" s="5">
        <v>508806</v>
      </c>
      <c r="S36" s="5">
        <v>441250</v>
      </c>
      <c r="T36" s="5">
        <v>574523</v>
      </c>
      <c r="U36" s="5">
        <v>1236764</v>
      </c>
      <c r="V36" s="5">
        <v>3203908</v>
      </c>
      <c r="W36" s="5">
        <v>4078657</v>
      </c>
      <c r="X36" s="5">
        <v>1607977</v>
      </c>
      <c r="Y36" s="5">
        <v>1582440</v>
      </c>
      <c r="Z36" s="7">
        <f t="shared" si="1"/>
        <v>40802080</v>
      </c>
    </row>
    <row r="37" spans="1:26" x14ac:dyDescent="0.45">
      <c r="A37" s="4" t="s">
        <v>137</v>
      </c>
      <c r="B37" s="5">
        <v>1602181</v>
      </c>
      <c r="C37" s="5">
        <v>2639281</v>
      </c>
      <c r="D37" s="5">
        <v>2217928</v>
      </c>
      <c r="E37" s="5">
        <v>616723</v>
      </c>
      <c r="F37" s="5">
        <v>2885075</v>
      </c>
      <c r="G37" s="5">
        <v>1164596</v>
      </c>
      <c r="H37" s="5">
        <v>2135382</v>
      </c>
      <c r="I37" s="5">
        <v>1137562</v>
      </c>
      <c r="J37" s="5">
        <v>1097246</v>
      </c>
      <c r="K37" s="5">
        <v>786706</v>
      </c>
      <c r="L37" s="5">
        <v>1014504</v>
      </c>
      <c r="M37" s="5">
        <v>233793</v>
      </c>
      <c r="N37" s="6"/>
      <c r="O37" s="5">
        <v>921655</v>
      </c>
      <c r="P37" s="5">
        <v>440718</v>
      </c>
      <c r="Q37" s="5">
        <v>2571030</v>
      </c>
      <c r="R37" s="5">
        <v>750981</v>
      </c>
      <c r="S37" s="5">
        <v>53290</v>
      </c>
      <c r="T37" s="5">
        <v>3797515</v>
      </c>
      <c r="U37" s="5">
        <v>1770329</v>
      </c>
      <c r="V37" s="5">
        <v>1611630</v>
      </c>
      <c r="W37" s="5">
        <v>413619</v>
      </c>
      <c r="X37" s="5">
        <v>1394499</v>
      </c>
      <c r="Y37" s="5">
        <v>1895996</v>
      </c>
      <c r="Z37" s="7">
        <f t="shared" si="1"/>
        <v>33152239</v>
      </c>
    </row>
    <row r="38" spans="1:26" x14ac:dyDescent="0.45">
      <c r="A38" s="4" t="s">
        <v>127</v>
      </c>
      <c r="B38" s="5">
        <v>774351</v>
      </c>
      <c r="C38" s="5">
        <v>419428</v>
      </c>
      <c r="D38" s="5">
        <v>1341083</v>
      </c>
      <c r="E38" s="5">
        <v>1118727</v>
      </c>
      <c r="F38" s="5">
        <v>1172373</v>
      </c>
      <c r="G38" s="5">
        <v>1019448</v>
      </c>
      <c r="H38" s="5">
        <v>1521851</v>
      </c>
      <c r="I38" s="5">
        <v>448072</v>
      </c>
      <c r="J38" s="5">
        <v>1831302</v>
      </c>
      <c r="K38" s="5">
        <v>1318236</v>
      </c>
      <c r="L38" s="5">
        <v>396362</v>
      </c>
      <c r="M38" s="5">
        <v>2363391</v>
      </c>
      <c r="N38" s="5">
        <v>2842092</v>
      </c>
      <c r="O38" s="5">
        <v>492932</v>
      </c>
      <c r="P38" s="5">
        <v>546515</v>
      </c>
      <c r="Q38" s="5">
        <v>727132</v>
      </c>
      <c r="R38" s="5">
        <v>2030618</v>
      </c>
      <c r="S38" s="5">
        <v>1528344</v>
      </c>
      <c r="T38" s="5">
        <v>1652016</v>
      </c>
      <c r="U38" s="5">
        <v>2086665</v>
      </c>
      <c r="V38" s="5">
        <v>2569937</v>
      </c>
      <c r="W38" s="5">
        <v>730195</v>
      </c>
      <c r="X38" s="5">
        <v>2021588</v>
      </c>
      <c r="Y38" s="5">
        <v>1013468</v>
      </c>
      <c r="Z38" s="7">
        <f t="shared" si="1"/>
        <v>31966126</v>
      </c>
    </row>
    <row r="39" spans="1:26" x14ac:dyDescent="0.45">
      <c r="A39" s="4" t="s">
        <v>49</v>
      </c>
      <c r="B39" s="5">
        <v>1153385</v>
      </c>
      <c r="C39" s="5">
        <v>912004</v>
      </c>
      <c r="D39" s="5">
        <v>1586777</v>
      </c>
      <c r="E39" s="5">
        <v>1566875</v>
      </c>
      <c r="F39" s="5">
        <v>264545</v>
      </c>
      <c r="G39" s="5">
        <v>1822029</v>
      </c>
      <c r="H39" s="5">
        <v>3871583</v>
      </c>
      <c r="I39" s="5">
        <v>825704</v>
      </c>
      <c r="J39" s="5">
        <v>335928</v>
      </c>
      <c r="K39" s="5">
        <v>171697</v>
      </c>
      <c r="L39" s="5">
        <v>717341</v>
      </c>
      <c r="M39" s="5">
        <v>1481637</v>
      </c>
      <c r="N39" s="5">
        <v>363131</v>
      </c>
      <c r="O39" s="5">
        <v>631370</v>
      </c>
      <c r="P39" s="5">
        <v>84900</v>
      </c>
      <c r="Q39" s="5">
        <v>1026766</v>
      </c>
      <c r="R39" s="5">
        <v>1776516</v>
      </c>
      <c r="S39" s="5">
        <v>557503</v>
      </c>
      <c r="T39" s="5">
        <v>87299</v>
      </c>
      <c r="U39" s="5">
        <v>1263813</v>
      </c>
      <c r="V39" s="5">
        <v>433250</v>
      </c>
      <c r="W39" s="5">
        <v>893543</v>
      </c>
      <c r="X39" s="5">
        <v>873736</v>
      </c>
      <c r="Y39" s="5">
        <v>1179479</v>
      </c>
      <c r="Z39" s="7">
        <f t="shared" si="1"/>
        <v>23880811</v>
      </c>
    </row>
    <row r="40" spans="1:26" x14ac:dyDescent="0.45">
      <c r="A40" s="4" t="s">
        <v>157</v>
      </c>
      <c r="B40" s="5">
        <v>914185</v>
      </c>
      <c r="C40" s="5">
        <v>2088801</v>
      </c>
      <c r="D40" s="5">
        <v>4307338</v>
      </c>
      <c r="E40" s="5">
        <v>3007892</v>
      </c>
      <c r="F40" s="5">
        <v>861320</v>
      </c>
      <c r="G40" s="5">
        <v>1013964</v>
      </c>
      <c r="H40" s="5">
        <v>758037</v>
      </c>
      <c r="I40" s="5">
        <v>183088</v>
      </c>
      <c r="J40" s="5">
        <v>817970</v>
      </c>
      <c r="K40" s="5">
        <v>235738</v>
      </c>
      <c r="L40" s="5">
        <v>17387</v>
      </c>
      <c r="M40" s="5">
        <v>1547110</v>
      </c>
      <c r="N40" s="5">
        <v>175521</v>
      </c>
      <c r="O40" s="5">
        <v>120139</v>
      </c>
      <c r="P40" s="5">
        <v>514866</v>
      </c>
      <c r="Q40" s="5">
        <v>13003</v>
      </c>
      <c r="R40" s="5">
        <v>469429</v>
      </c>
      <c r="S40" s="5">
        <v>123484</v>
      </c>
      <c r="T40" s="5">
        <v>84840</v>
      </c>
      <c r="U40" s="5">
        <v>148133</v>
      </c>
      <c r="V40" s="5">
        <v>77729</v>
      </c>
      <c r="W40" s="5">
        <v>1462812</v>
      </c>
      <c r="X40" s="5">
        <v>2143800</v>
      </c>
      <c r="Y40" s="5">
        <v>1784105</v>
      </c>
      <c r="Z40" s="7">
        <f t="shared" si="1"/>
        <v>22870691</v>
      </c>
    </row>
    <row r="41" spans="1:26" x14ac:dyDescent="0.45">
      <c r="A41" s="4" t="s">
        <v>54</v>
      </c>
      <c r="B41" s="5">
        <v>1153385</v>
      </c>
      <c r="C41" s="5">
        <v>714693</v>
      </c>
      <c r="D41" s="5">
        <v>1543277</v>
      </c>
      <c r="E41" s="5">
        <v>1538875</v>
      </c>
      <c r="F41" s="5">
        <v>264545</v>
      </c>
      <c r="G41" s="5">
        <v>1562366</v>
      </c>
      <c r="H41" s="5">
        <v>3612083</v>
      </c>
      <c r="I41" s="5">
        <v>719704</v>
      </c>
      <c r="J41" s="5">
        <v>242221</v>
      </c>
      <c r="K41" s="5">
        <v>171697</v>
      </c>
      <c r="L41" s="5">
        <v>707341</v>
      </c>
      <c r="M41" s="5">
        <v>1468294</v>
      </c>
      <c r="N41" s="5">
        <v>363131</v>
      </c>
      <c r="O41" s="5">
        <v>625317</v>
      </c>
      <c r="P41" s="5">
        <v>84900</v>
      </c>
      <c r="Q41" s="5">
        <v>1026766</v>
      </c>
      <c r="R41" s="5">
        <v>1776516</v>
      </c>
      <c r="S41" s="5">
        <v>329003</v>
      </c>
      <c r="T41" s="5">
        <v>81785</v>
      </c>
      <c r="U41" s="5">
        <v>1255296</v>
      </c>
      <c r="V41" s="5">
        <v>433250</v>
      </c>
      <c r="W41" s="5">
        <v>893543</v>
      </c>
      <c r="X41" s="5">
        <v>873736</v>
      </c>
      <c r="Y41" s="5">
        <v>1149479</v>
      </c>
      <c r="Z41" s="7">
        <f t="shared" si="1"/>
        <v>22591203</v>
      </c>
    </row>
    <row r="42" spans="1:26" x14ac:dyDescent="0.45">
      <c r="A42" s="4" t="s">
        <v>14</v>
      </c>
      <c r="B42" s="6"/>
      <c r="C42" s="5">
        <v>2250</v>
      </c>
      <c r="D42" s="6"/>
      <c r="E42" s="5">
        <v>14850</v>
      </c>
      <c r="F42" s="5">
        <v>9500</v>
      </c>
      <c r="G42" s="5">
        <v>20500</v>
      </c>
      <c r="H42" s="5">
        <v>101550</v>
      </c>
      <c r="I42" s="5">
        <v>4927</v>
      </c>
      <c r="J42" s="6"/>
      <c r="K42" s="5">
        <v>33000</v>
      </c>
      <c r="L42" s="6"/>
      <c r="M42" s="5">
        <v>118563</v>
      </c>
      <c r="N42" s="5">
        <v>9132</v>
      </c>
      <c r="O42" s="5">
        <v>236695</v>
      </c>
      <c r="P42" s="5">
        <v>313165</v>
      </c>
      <c r="Q42" s="5">
        <v>363925</v>
      </c>
      <c r="R42" s="5">
        <v>480795</v>
      </c>
      <c r="S42" s="5">
        <v>1596860</v>
      </c>
      <c r="T42" s="5">
        <v>2311418</v>
      </c>
      <c r="U42" s="5">
        <v>1996523</v>
      </c>
      <c r="V42" s="5">
        <v>742910</v>
      </c>
      <c r="W42" s="5">
        <v>2088950</v>
      </c>
      <c r="X42" s="5">
        <v>2503509</v>
      </c>
      <c r="Y42" s="5">
        <v>3726899</v>
      </c>
      <c r="Z42" s="7">
        <f t="shared" si="1"/>
        <v>16675921</v>
      </c>
    </row>
    <row r="43" spans="1:26" x14ac:dyDescent="0.45">
      <c r="A43" s="4" t="s">
        <v>121</v>
      </c>
      <c r="B43" s="5">
        <v>695325</v>
      </c>
      <c r="C43" s="5">
        <v>671555</v>
      </c>
      <c r="D43" s="5">
        <v>1712827</v>
      </c>
      <c r="E43" s="5">
        <v>2259306</v>
      </c>
      <c r="F43" s="5">
        <v>85603</v>
      </c>
      <c r="G43" s="6"/>
      <c r="H43" s="5">
        <v>35118</v>
      </c>
      <c r="I43" s="6"/>
      <c r="J43" s="5">
        <v>6800</v>
      </c>
      <c r="K43" s="5">
        <v>80000</v>
      </c>
      <c r="L43" s="5">
        <v>109988</v>
      </c>
      <c r="M43" s="5">
        <v>257796</v>
      </c>
      <c r="N43" s="5">
        <v>23275</v>
      </c>
      <c r="O43" s="6"/>
      <c r="P43" s="5">
        <v>11808</v>
      </c>
      <c r="Q43" s="5">
        <v>1033976</v>
      </c>
      <c r="R43" s="6"/>
      <c r="S43" s="5">
        <v>1211327</v>
      </c>
      <c r="T43" s="5">
        <v>537828</v>
      </c>
      <c r="U43" s="5">
        <v>3463659</v>
      </c>
      <c r="V43" s="5">
        <v>1081615</v>
      </c>
      <c r="W43" s="5">
        <v>2605385</v>
      </c>
      <c r="X43" s="5">
        <v>316482</v>
      </c>
      <c r="Y43" s="5">
        <v>437867</v>
      </c>
      <c r="Z43" s="7">
        <f t="shared" si="1"/>
        <v>16637540</v>
      </c>
    </row>
    <row r="44" spans="1:26" x14ac:dyDescent="0.45">
      <c r="A44" s="4" t="s">
        <v>129</v>
      </c>
      <c r="B44" s="5">
        <v>423289</v>
      </c>
      <c r="C44" s="5">
        <v>774053</v>
      </c>
      <c r="D44" s="5">
        <v>351420</v>
      </c>
      <c r="E44" s="5">
        <v>856436</v>
      </c>
      <c r="F44" s="5">
        <v>188865</v>
      </c>
      <c r="G44" s="5">
        <v>295019</v>
      </c>
      <c r="H44" s="5">
        <v>92931</v>
      </c>
      <c r="I44" s="5">
        <v>451448</v>
      </c>
      <c r="J44" s="5">
        <v>125850</v>
      </c>
      <c r="K44" s="5">
        <v>581084</v>
      </c>
      <c r="L44" s="5">
        <v>196600</v>
      </c>
      <c r="M44" s="5">
        <v>896451</v>
      </c>
      <c r="N44" s="5">
        <v>577799</v>
      </c>
      <c r="O44" s="5">
        <v>61158</v>
      </c>
      <c r="P44" s="5">
        <v>175726</v>
      </c>
      <c r="Q44" s="5">
        <v>255860</v>
      </c>
      <c r="R44" s="5">
        <v>552028</v>
      </c>
      <c r="S44" s="5">
        <v>1034274</v>
      </c>
      <c r="T44" s="5">
        <v>1921778</v>
      </c>
      <c r="U44" s="5">
        <v>761969</v>
      </c>
      <c r="V44" s="5">
        <v>1736841</v>
      </c>
      <c r="W44" s="5">
        <v>3011420</v>
      </c>
      <c r="X44" s="5">
        <v>650452</v>
      </c>
      <c r="Y44" s="5">
        <v>322534</v>
      </c>
      <c r="Z44" s="7">
        <f t="shared" si="1"/>
        <v>16295285</v>
      </c>
    </row>
    <row r="45" spans="1:26" x14ac:dyDescent="0.45">
      <c r="A45" s="4" t="s">
        <v>160</v>
      </c>
      <c r="B45" s="6"/>
      <c r="C45" s="6"/>
      <c r="D45" s="6"/>
      <c r="E45" s="5">
        <v>25605</v>
      </c>
      <c r="F45" s="5">
        <v>12000</v>
      </c>
      <c r="G45" s="5">
        <v>759230</v>
      </c>
      <c r="H45" s="5">
        <v>1975854</v>
      </c>
      <c r="I45" s="5">
        <v>1404268</v>
      </c>
      <c r="J45" s="5">
        <v>4106</v>
      </c>
      <c r="K45" s="5">
        <v>518905</v>
      </c>
      <c r="L45" s="5">
        <v>641076</v>
      </c>
      <c r="M45" s="5">
        <v>1038213</v>
      </c>
      <c r="N45" s="5">
        <v>1198766</v>
      </c>
      <c r="O45" s="5">
        <v>612425</v>
      </c>
      <c r="P45" s="5">
        <v>175296</v>
      </c>
      <c r="Q45" s="5">
        <v>40460</v>
      </c>
      <c r="R45" s="5">
        <v>138830</v>
      </c>
      <c r="S45" s="5">
        <v>445945</v>
      </c>
      <c r="T45" s="5">
        <v>248087</v>
      </c>
      <c r="U45" s="5">
        <v>362674</v>
      </c>
      <c r="V45" s="5">
        <v>783896</v>
      </c>
      <c r="W45" s="5">
        <v>1079991</v>
      </c>
      <c r="X45" s="5">
        <v>1679456</v>
      </c>
      <c r="Y45" s="5">
        <v>1506720</v>
      </c>
      <c r="Z45" s="7">
        <f t="shared" si="1"/>
        <v>14651803</v>
      </c>
    </row>
    <row r="46" spans="1:26" x14ac:dyDescent="0.45">
      <c r="A46" s="4" t="s">
        <v>174</v>
      </c>
      <c r="B46" s="5">
        <v>44208</v>
      </c>
      <c r="C46" s="5">
        <v>167499</v>
      </c>
      <c r="D46" s="5">
        <v>43790</v>
      </c>
      <c r="E46" s="5">
        <v>345123</v>
      </c>
      <c r="F46" s="5">
        <v>289601</v>
      </c>
      <c r="G46" s="5">
        <v>1085197</v>
      </c>
      <c r="H46" s="5">
        <v>645500</v>
      </c>
      <c r="I46" s="5">
        <v>445136</v>
      </c>
      <c r="J46" s="5">
        <v>340410</v>
      </c>
      <c r="K46" s="5">
        <v>421942</v>
      </c>
      <c r="L46" s="5">
        <v>445988</v>
      </c>
      <c r="M46" s="5">
        <v>510842</v>
      </c>
      <c r="N46" s="5">
        <v>1758046</v>
      </c>
      <c r="O46" s="5">
        <v>216068</v>
      </c>
      <c r="P46" s="5">
        <v>229514</v>
      </c>
      <c r="Q46" s="5">
        <v>552841</v>
      </c>
      <c r="R46" s="5">
        <v>330860</v>
      </c>
      <c r="S46" s="5">
        <v>350226</v>
      </c>
      <c r="T46" s="5">
        <v>547451</v>
      </c>
      <c r="U46" s="5">
        <v>124295</v>
      </c>
      <c r="V46" s="5">
        <v>766277</v>
      </c>
      <c r="W46" s="5">
        <v>1623436</v>
      </c>
      <c r="X46" s="5">
        <v>1674522</v>
      </c>
      <c r="Y46" s="5">
        <v>926550</v>
      </c>
      <c r="Z46" s="7">
        <f t="shared" si="1"/>
        <v>13885322</v>
      </c>
    </row>
    <row r="47" spans="1:26" x14ac:dyDescent="0.45">
      <c r="A47" s="4" t="s">
        <v>153</v>
      </c>
      <c r="B47" s="5">
        <v>355966</v>
      </c>
      <c r="C47" s="5">
        <v>646352</v>
      </c>
      <c r="D47" s="5">
        <v>903326</v>
      </c>
      <c r="E47" s="5">
        <v>398116</v>
      </c>
      <c r="F47" s="5">
        <v>803216</v>
      </c>
      <c r="G47" s="5">
        <v>391211</v>
      </c>
      <c r="H47" s="5">
        <v>383346</v>
      </c>
      <c r="I47" s="5">
        <v>394400</v>
      </c>
      <c r="J47" s="5">
        <v>1079402</v>
      </c>
      <c r="K47" s="5">
        <v>125594</v>
      </c>
      <c r="L47" s="5">
        <v>116298</v>
      </c>
      <c r="M47" s="5">
        <v>109611</v>
      </c>
      <c r="N47" s="5">
        <v>555627</v>
      </c>
      <c r="O47" s="5">
        <v>817817</v>
      </c>
      <c r="P47" s="5">
        <v>646449</v>
      </c>
      <c r="Q47" s="5">
        <v>412455</v>
      </c>
      <c r="R47" s="5">
        <v>1045154</v>
      </c>
      <c r="S47" s="5">
        <v>887537</v>
      </c>
      <c r="T47" s="5">
        <v>240265</v>
      </c>
      <c r="U47" s="5">
        <v>73965</v>
      </c>
      <c r="V47" s="5">
        <v>358076</v>
      </c>
      <c r="W47" s="5">
        <v>48034</v>
      </c>
      <c r="X47" s="5">
        <v>498820</v>
      </c>
      <c r="Y47" s="5">
        <v>135949</v>
      </c>
      <c r="Z47" s="7">
        <f t="shared" si="1"/>
        <v>11426986</v>
      </c>
    </row>
    <row r="48" spans="1:26" x14ac:dyDescent="0.45">
      <c r="A48" s="4" t="s">
        <v>145</v>
      </c>
      <c r="B48" s="5">
        <v>294149</v>
      </c>
      <c r="C48" s="5">
        <v>472916</v>
      </c>
      <c r="D48" s="5">
        <v>393437</v>
      </c>
      <c r="E48" s="5">
        <v>235325</v>
      </c>
      <c r="F48" s="5">
        <v>718924</v>
      </c>
      <c r="G48" s="5">
        <v>729734</v>
      </c>
      <c r="H48" s="5">
        <v>435970</v>
      </c>
      <c r="I48" s="5">
        <v>53035</v>
      </c>
      <c r="J48" s="5">
        <v>481312</v>
      </c>
      <c r="K48" s="5">
        <v>198950</v>
      </c>
      <c r="L48" s="5">
        <v>277362</v>
      </c>
      <c r="M48" s="5">
        <v>245379</v>
      </c>
      <c r="N48" s="5">
        <v>313915</v>
      </c>
      <c r="O48" s="5">
        <v>64965</v>
      </c>
      <c r="P48" s="5">
        <v>305238</v>
      </c>
      <c r="Q48" s="5">
        <v>28981</v>
      </c>
      <c r="R48" s="5">
        <v>638490</v>
      </c>
      <c r="S48" s="5">
        <v>707421</v>
      </c>
      <c r="T48" s="5">
        <v>377049</v>
      </c>
      <c r="U48" s="5">
        <v>87338</v>
      </c>
      <c r="V48" s="5">
        <v>1503380</v>
      </c>
      <c r="W48" s="5">
        <v>1623468</v>
      </c>
      <c r="X48" s="5">
        <v>89620</v>
      </c>
      <c r="Y48" s="5">
        <v>59570</v>
      </c>
      <c r="Z48" s="7">
        <f t="shared" si="1"/>
        <v>10335928</v>
      </c>
    </row>
    <row r="49" spans="1:26" x14ac:dyDescent="0.45">
      <c r="A49" s="4" t="s">
        <v>154</v>
      </c>
      <c r="B49" s="5">
        <v>10123</v>
      </c>
      <c r="C49" s="6"/>
      <c r="D49" s="5">
        <v>8000</v>
      </c>
      <c r="E49" s="5">
        <v>32764</v>
      </c>
      <c r="F49" s="5">
        <v>56722</v>
      </c>
      <c r="G49" s="5">
        <v>10099</v>
      </c>
      <c r="H49" s="5">
        <v>100347</v>
      </c>
      <c r="I49" s="5">
        <v>17337</v>
      </c>
      <c r="J49" s="5">
        <v>11144</v>
      </c>
      <c r="K49" s="5">
        <v>122648</v>
      </c>
      <c r="L49" s="5">
        <v>92015</v>
      </c>
      <c r="M49" s="5">
        <v>13366</v>
      </c>
      <c r="N49" s="5">
        <v>215084</v>
      </c>
      <c r="O49" s="5">
        <v>117111</v>
      </c>
      <c r="P49" s="5">
        <v>8270</v>
      </c>
      <c r="Q49" s="5">
        <v>388701</v>
      </c>
      <c r="R49" s="5">
        <v>152718</v>
      </c>
      <c r="S49" s="5">
        <v>274307</v>
      </c>
      <c r="T49" s="5">
        <v>439581</v>
      </c>
      <c r="U49" s="5">
        <v>992619</v>
      </c>
      <c r="V49" s="5">
        <v>689728</v>
      </c>
      <c r="W49" s="5">
        <v>2023959</v>
      </c>
      <c r="X49" s="5">
        <v>714093</v>
      </c>
      <c r="Y49" s="5">
        <v>1131079</v>
      </c>
      <c r="Z49" s="7">
        <f t="shared" si="1"/>
        <v>7621815</v>
      </c>
    </row>
    <row r="50" spans="1:26" x14ac:dyDescent="0.45">
      <c r="A50" s="4" t="s">
        <v>184</v>
      </c>
      <c r="B50" s="5">
        <v>14500</v>
      </c>
      <c r="C50" s="5">
        <v>128595</v>
      </c>
      <c r="D50" s="5">
        <v>29400</v>
      </c>
      <c r="E50" s="5">
        <v>240702</v>
      </c>
      <c r="F50" s="5">
        <v>192101</v>
      </c>
      <c r="G50" s="5">
        <v>1042197</v>
      </c>
      <c r="H50" s="5">
        <v>634210</v>
      </c>
      <c r="I50" s="5">
        <v>320010</v>
      </c>
      <c r="J50" s="5">
        <v>168300</v>
      </c>
      <c r="K50" s="5">
        <v>327927</v>
      </c>
      <c r="L50" s="5">
        <v>353550</v>
      </c>
      <c r="M50" s="5">
        <v>454742</v>
      </c>
      <c r="N50" s="5">
        <v>121154</v>
      </c>
      <c r="O50" s="5">
        <v>180532</v>
      </c>
      <c r="P50" s="5">
        <v>206917</v>
      </c>
      <c r="Q50" s="5">
        <v>231963</v>
      </c>
      <c r="R50" s="5">
        <v>209550</v>
      </c>
      <c r="S50" s="5">
        <v>40000</v>
      </c>
      <c r="T50" s="5">
        <v>255191</v>
      </c>
      <c r="U50" s="5">
        <v>108295</v>
      </c>
      <c r="V50" s="5">
        <v>276719</v>
      </c>
      <c r="W50" s="5">
        <v>960706</v>
      </c>
      <c r="X50" s="5">
        <v>789760</v>
      </c>
      <c r="Y50" s="5">
        <v>267043</v>
      </c>
      <c r="Z50" s="7">
        <f t="shared" si="1"/>
        <v>7554064</v>
      </c>
    </row>
    <row r="51" spans="1:26" x14ac:dyDescent="0.45">
      <c r="A51" s="4" t="s">
        <v>110</v>
      </c>
      <c r="B51" s="5">
        <v>82800</v>
      </c>
      <c r="C51" s="5">
        <v>252658</v>
      </c>
      <c r="D51" s="5">
        <v>289735</v>
      </c>
      <c r="E51" s="5">
        <v>86800</v>
      </c>
      <c r="F51" s="5">
        <v>185440</v>
      </c>
      <c r="G51" s="5">
        <v>241500</v>
      </c>
      <c r="H51" s="5">
        <v>202200</v>
      </c>
      <c r="I51" s="5">
        <v>148496</v>
      </c>
      <c r="J51" s="5">
        <v>220066</v>
      </c>
      <c r="K51" s="5">
        <v>459839</v>
      </c>
      <c r="L51" s="5">
        <v>127500</v>
      </c>
      <c r="M51" s="5">
        <v>657426</v>
      </c>
      <c r="N51" s="5">
        <v>565961</v>
      </c>
      <c r="O51" s="6"/>
      <c r="P51" s="5">
        <v>651604</v>
      </c>
      <c r="Q51" s="5">
        <v>979150</v>
      </c>
      <c r="R51" s="5">
        <v>734480</v>
      </c>
      <c r="S51" s="5">
        <v>196645</v>
      </c>
      <c r="T51" s="5">
        <v>134130</v>
      </c>
      <c r="U51" s="5">
        <v>6220</v>
      </c>
      <c r="V51" s="5">
        <v>321540</v>
      </c>
      <c r="W51" s="6"/>
      <c r="X51" s="6"/>
      <c r="Y51" s="6"/>
      <c r="Z51" s="7">
        <f t="shared" si="1"/>
        <v>6544190</v>
      </c>
    </row>
    <row r="52" spans="1:26" x14ac:dyDescent="0.45">
      <c r="A52" s="4" t="s">
        <v>162</v>
      </c>
      <c r="B52" s="6"/>
      <c r="C52" s="6"/>
      <c r="D52" s="5">
        <v>145400</v>
      </c>
      <c r="E52" s="5">
        <v>182100</v>
      </c>
      <c r="F52" s="6"/>
      <c r="G52" s="5">
        <v>246610</v>
      </c>
      <c r="H52" s="6"/>
      <c r="I52" s="5">
        <v>268005</v>
      </c>
      <c r="J52" s="5">
        <v>366621</v>
      </c>
      <c r="K52" s="5">
        <v>324785</v>
      </c>
      <c r="L52" s="5">
        <v>482100</v>
      </c>
      <c r="M52" s="5">
        <v>158650</v>
      </c>
      <c r="N52" s="5">
        <v>509766</v>
      </c>
      <c r="O52" s="5">
        <v>486186</v>
      </c>
      <c r="P52" s="5">
        <v>273555</v>
      </c>
      <c r="Q52" s="5">
        <v>420993</v>
      </c>
      <c r="R52" s="5">
        <v>113225</v>
      </c>
      <c r="S52" s="5">
        <v>399990</v>
      </c>
      <c r="T52" s="5">
        <v>95000</v>
      </c>
      <c r="U52" s="5">
        <v>28863</v>
      </c>
      <c r="V52" s="5">
        <v>183000</v>
      </c>
      <c r="W52" s="5">
        <v>434335</v>
      </c>
      <c r="X52" s="5">
        <v>66300</v>
      </c>
      <c r="Y52" s="5">
        <v>641300</v>
      </c>
      <c r="Z52" s="7">
        <f t="shared" si="1"/>
        <v>5826784</v>
      </c>
    </row>
    <row r="53" spans="1:26" x14ac:dyDescent="0.45">
      <c r="A53" s="4" t="s">
        <v>188</v>
      </c>
      <c r="B53" s="5">
        <v>29708</v>
      </c>
      <c r="C53" s="5">
        <v>7904</v>
      </c>
      <c r="D53" s="6"/>
      <c r="E53" s="5">
        <v>40000</v>
      </c>
      <c r="F53" s="5">
        <v>55000</v>
      </c>
      <c r="G53" s="5">
        <v>43000</v>
      </c>
      <c r="H53" s="6"/>
      <c r="I53" s="5">
        <v>12000</v>
      </c>
      <c r="J53" s="6"/>
      <c r="K53" s="5">
        <v>76515</v>
      </c>
      <c r="L53" s="6"/>
      <c r="M53" s="5">
        <v>9600</v>
      </c>
      <c r="N53" s="5">
        <v>1549892</v>
      </c>
      <c r="O53" s="6"/>
      <c r="P53" s="6"/>
      <c r="Q53" s="5">
        <v>243126</v>
      </c>
      <c r="R53" s="5">
        <v>117560</v>
      </c>
      <c r="S53" s="5">
        <v>310226</v>
      </c>
      <c r="T53" s="5">
        <v>292260</v>
      </c>
      <c r="U53" s="6"/>
      <c r="V53" s="5">
        <v>448758</v>
      </c>
      <c r="W53" s="5">
        <v>662730</v>
      </c>
      <c r="X53" s="5">
        <v>859762</v>
      </c>
      <c r="Y53" s="5">
        <v>659507</v>
      </c>
      <c r="Z53" s="7">
        <f t="shared" si="1"/>
        <v>5417548</v>
      </c>
    </row>
    <row r="54" spans="1:26" x14ac:dyDescent="0.45">
      <c r="A54" s="4" t="s">
        <v>91</v>
      </c>
      <c r="B54" s="5">
        <v>29353</v>
      </c>
      <c r="C54" s="5">
        <v>25812</v>
      </c>
      <c r="D54" s="5">
        <v>92288</v>
      </c>
      <c r="E54" s="5">
        <v>130929</v>
      </c>
      <c r="F54" s="5">
        <v>267675</v>
      </c>
      <c r="G54" s="5">
        <v>153942</v>
      </c>
      <c r="H54" s="5">
        <v>18988</v>
      </c>
      <c r="I54" s="5">
        <v>358127</v>
      </c>
      <c r="J54" s="5">
        <v>29441</v>
      </c>
      <c r="K54" s="5">
        <v>654502</v>
      </c>
      <c r="L54" s="5">
        <v>584970</v>
      </c>
      <c r="M54" s="5">
        <v>905456</v>
      </c>
      <c r="N54" s="5">
        <v>22101</v>
      </c>
      <c r="O54" s="5">
        <v>9958</v>
      </c>
      <c r="P54" s="5">
        <v>89066</v>
      </c>
      <c r="Q54" s="5">
        <v>396940</v>
      </c>
      <c r="R54" s="5">
        <v>97198</v>
      </c>
      <c r="S54" s="5">
        <v>26825</v>
      </c>
      <c r="T54" s="5">
        <v>64751</v>
      </c>
      <c r="U54" s="5">
        <v>162546</v>
      </c>
      <c r="V54" s="5">
        <v>26206</v>
      </c>
      <c r="W54" s="5">
        <v>120730</v>
      </c>
      <c r="X54" s="5">
        <v>17949</v>
      </c>
      <c r="Y54" s="5">
        <v>221618</v>
      </c>
      <c r="Z54" s="7">
        <f t="shared" si="1"/>
        <v>4507371</v>
      </c>
    </row>
    <row r="55" spans="1:26" x14ac:dyDescent="0.45">
      <c r="A55" s="4" t="s">
        <v>147</v>
      </c>
      <c r="B55" s="5">
        <v>112978</v>
      </c>
      <c r="C55" s="6"/>
      <c r="D55" s="6"/>
      <c r="E55" s="5">
        <v>51690</v>
      </c>
      <c r="F55" s="5">
        <v>119420</v>
      </c>
      <c r="G55" s="5">
        <v>330904</v>
      </c>
      <c r="H55" s="5">
        <v>73278</v>
      </c>
      <c r="I55" s="5">
        <v>137076</v>
      </c>
      <c r="J55" s="5">
        <v>228700</v>
      </c>
      <c r="K55" s="5">
        <v>282903</v>
      </c>
      <c r="L55" s="5">
        <v>208478</v>
      </c>
      <c r="M55" s="5">
        <v>93880</v>
      </c>
      <c r="N55" s="5">
        <v>41438</v>
      </c>
      <c r="O55" s="5">
        <v>87283</v>
      </c>
      <c r="P55" s="5">
        <v>228905</v>
      </c>
      <c r="Q55" s="5">
        <v>137072</v>
      </c>
      <c r="R55" s="5">
        <v>171713</v>
      </c>
      <c r="S55" s="5">
        <v>168870</v>
      </c>
      <c r="T55" s="5">
        <v>8435</v>
      </c>
      <c r="U55" s="5">
        <v>537166</v>
      </c>
      <c r="V55" s="5">
        <v>220575</v>
      </c>
      <c r="W55" s="5">
        <v>243551</v>
      </c>
      <c r="X55" s="5">
        <v>127249</v>
      </c>
      <c r="Y55" s="5">
        <v>30688</v>
      </c>
      <c r="Z55" s="7">
        <f t="shared" si="1"/>
        <v>3642252</v>
      </c>
    </row>
    <row r="56" spans="1:26" x14ac:dyDescent="0.45">
      <c r="A56" s="4" t="s">
        <v>119</v>
      </c>
      <c r="B56" s="5">
        <v>180300</v>
      </c>
      <c r="C56" s="5">
        <v>131810</v>
      </c>
      <c r="D56" s="5">
        <v>117850</v>
      </c>
      <c r="E56" s="5">
        <v>233700</v>
      </c>
      <c r="F56" s="5">
        <v>184100</v>
      </c>
      <c r="G56" s="5">
        <v>214540</v>
      </c>
      <c r="H56" s="6"/>
      <c r="I56" s="5">
        <v>59700</v>
      </c>
      <c r="J56" s="6"/>
      <c r="K56" s="5">
        <v>66000</v>
      </c>
      <c r="L56" s="5">
        <v>213400</v>
      </c>
      <c r="M56" s="5">
        <v>85980</v>
      </c>
      <c r="N56" s="6"/>
      <c r="O56" s="5">
        <v>94700</v>
      </c>
      <c r="P56" s="5">
        <v>161000</v>
      </c>
      <c r="Q56" s="6"/>
      <c r="R56" s="5">
        <v>247000</v>
      </c>
      <c r="S56" s="6"/>
      <c r="T56" s="6"/>
      <c r="U56" s="5">
        <v>602000</v>
      </c>
      <c r="V56" s="6"/>
      <c r="W56" s="5">
        <v>305000</v>
      </c>
      <c r="X56" s="6"/>
      <c r="Y56" s="5">
        <v>641015</v>
      </c>
      <c r="Z56" s="7">
        <f t="shared" si="1"/>
        <v>3538095</v>
      </c>
    </row>
    <row r="57" spans="1:26" x14ac:dyDescent="0.45">
      <c r="A57" s="4" t="s">
        <v>113</v>
      </c>
      <c r="B57" s="6"/>
      <c r="C57" s="6"/>
      <c r="D57" s="6"/>
      <c r="E57" s="6"/>
      <c r="F57" s="5">
        <v>9600</v>
      </c>
      <c r="G57" s="6"/>
      <c r="H57" s="5">
        <v>14961</v>
      </c>
      <c r="I57" s="5">
        <v>37994</v>
      </c>
      <c r="J57" s="5">
        <v>185585</v>
      </c>
      <c r="K57" s="5">
        <v>83983</v>
      </c>
      <c r="L57" s="5">
        <v>125627</v>
      </c>
      <c r="M57" s="5">
        <v>49150</v>
      </c>
      <c r="N57" s="6"/>
      <c r="O57" s="5">
        <v>66053</v>
      </c>
      <c r="P57" s="5">
        <v>236839</v>
      </c>
      <c r="Q57" s="5">
        <v>61193</v>
      </c>
      <c r="R57" s="5">
        <v>21600</v>
      </c>
      <c r="S57" s="5">
        <v>173410</v>
      </c>
      <c r="T57" s="5">
        <v>230771</v>
      </c>
      <c r="U57" s="5">
        <v>122408</v>
      </c>
      <c r="V57" s="5">
        <v>490540</v>
      </c>
      <c r="W57" s="5">
        <v>332652</v>
      </c>
      <c r="X57" s="5">
        <v>301645</v>
      </c>
      <c r="Y57" s="5">
        <v>538735</v>
      </c>
      <c r="Z57" s="7">
        <f t="shared" si="1"/>
        <v>3082746</v>
      </c>
    </row>
    <row r="58" spans="1:26" x14ac:dyDescent="0.45">
      <c r="A58" s="4" t="s">
        <v>211</v>
      </c>
      <c r="B58" s="5">
        <v>156398</v>
      </c>
      <c r="C58" s="5">
        <v>264201</v>
      </c>
      <c r="D58" s="5">
        <v>146791</v>
      </c>
      <c r="E58" s="5">
        <v>28379</v>
      </c>
      <c r="F58" s="5">
        <v>16200</v>
      </c>
      <c r="G58" s="5">
        <v>292530</v>
      </c>
      <c r="H58" s="5">
        <v>941325</v>
      </c>
      <c r="I58" s="5">
        <v>32374</v>
      </c>
      <c r="J58" s="5">
        <v>154109</v>
      </c>
      <c r="K58" s="5">
        <v>113032</v>
      </c>
      <c r="L58" s="6"/>
      <c r="M58" s="5">
        <v>6470</v>
      </c>
      <c r="N58" s="5">
        <v>205000</v>
      </c>
      <c r="O58" s="5">
        <v>3461</v>
      </c>
      <c r="P58" s="5">
        <v>162631</v>
      </c>
      <c r="Q58" s="6"/>
      <c r="R58" s="5">
        <v>25718</v>
      </c>
      <c r="S58" s="6"/>
      <c r="T58" s="5">
        <v>5300</v>
      </c>
      <c r="U58" s="6"/>
      <c r="V58" s="5">
        <v>9200</v>
      </c>
      <c r="W58" s="6"/>
      <c r="X58" s="5">
        <v>60500</v>
      </c>
      <c r="Y58" s="6"/>
      <c r="Z58" s="7">
        <f t="shared" si="1"/>
        <v>2623619</v>
      </c>
    </row>
    <row r="59" spans="1:26" x14ac:dyDescent="0.45">
      <c r="A59" s="4" t="s">
        <v>148</v>
      </c>
      <c r="B59" s="5">
        <v>89447</v>
      </c>
      <c r="C59" s="5">
        <v>250588</v>
      </c>
      <c r="D59" s="5">
        <v>246390</v>
      </c>
      <c r="E59" s="5">
        <v>158162</v>
      </c>
      <c r="F59" s="5">
        <v>229816</v>
      </c>
      <c r="G59" s="5">
        <v>159434</v>
      </c>
      <c r="H59" s="5">
        <v>253331</v>
      </c>
      <c r="I59" s="5">
        <v>540161</v>
      </c>
      <c r="J59" s="5">
        <v>33046</v>
      </c>
      <c r="K59" s="5">
        <v>13765</v>
      </c>
      <c r="L59" s="5">
        <v>24975</v>
      </c>
      <c r="M59" s="5">
        <v>94528</v>
      </c>
      <c r="N59" s="6"/>
      <c r="O59" s="5">
        <v>123006</v>
      </c>
      <c r="P59" s="5">
        <v>198500</v>
      </c>
      <c r="Q59" s="6"/>
      <c r="R59" s="6"/>
      <c r="S59" s="6"/>
      <c r="T59" s="6"/>
      <c r="U59" s="6"/>
      <c r="V59" s="6"/>
      <c r="W59" s="6"/>
      <c r="X59" s="5">
        <v>4255</v>
      </c>
      <c r="Y59" s="5">
        <v>54684</v>
      </c>
      <c r="Z59" s="7">
        <f t="shared" si="1"/>
        <v>2474088</v>
      </c>
    </row>
    <row r="60" spans="1:26" x14ac:dyDescent="0.45">
      <c r="A60" s="4" t="s">
        <v>6</v>
      </c>
      <c r="B60" s="5">
        <v>40040</v>
      </c>
      <c r="C60" s="5">
        <v>332606</v>
      </c>
      <c r="D60" s="5">
        <v>122132</v>
      </c>
      <c r="E60" s="5">
        <v>72666</v>
      </c>
      <c r="F60" s="5">
        <v>69152</v>
      </c>
      <c r="G60" s="5">
        <v>12666</v>
      </c>
      <c r="H60" s="5">
        <v>12666</v>
      </c>
      <c r="I60" s="5">
        <v>61537</v>
      </c>
      <c r="J60" s="5">
        <v>73364</v>
      </c>
      <c r="K60" s="5">
        <v>52000</v>
      </c>
      <c r="L60" s="5">
        <v>21666</v>
      </c>
      <c r="M60" s="5">
        <v>28360</v>
      </c>
      <c r="N60" s="5">
        <v>12666</v>
      </c>
      <c r="O60" s="5">
        <v>268900</v>
      </c>
      <c r="P60" s="5">
        <v>56011</v>
      </c>
      <c r="Q60" s="5">
        <v>62598</v>
      </c>
      <c r="R60" s="5">
        <v>52000</v>
      </c>
      <c r="S60" s="5">
        <v>62603</v>
      </c>
      <c r="T60" s="5">
        <v>4740</v>
      </c>
      <c r="U60" s="5">
        <v>54056</v>
      </c>
      <c r="V60" s="6"/>
      <c r="W60" s="5">
        <v>41825</v>
      </c>
      <c r="X60" s="5">
        <v>119469</v>
      </c>
      <c r="Y60" s="6"/>
      <c r="Z60" s="7">
        <f t="shared" si="1"/>
        <v>1633723</v>
      </c>
    </row>
    <row r="61" spans="1:26" x14ac:dyDescent="0.45">
      <c r="A61" s="4" t="s">
        <v>208</v>
      </c>
      <c r="B61" s="6"/>
      <c r="C61" s="5">
        <v>199303</v>
      </c>
      <c r="D61" s="5">
        <v>16180</v>
      </c>
      <c r="E61" s="5">
        <v>228809</v>
      </c>
      <c r="F61" s="5">
        <v>5500</v>
      </c>
      <c r="G61" s="5">
        <v>48035</v>
      </c>
      <c r="H61" s="5">
        <v>52434</v>
      </c>
      <c r="I61" s="5">
        <v>63127</v>
      </c>
      <c r="J61" s="5">
        <v>216417</v>
      </c>
      <c r="K61" s="6"/>
      <c r="L61" s="5">
        <v>30000</v>
      </c>
      <c r="M61" s="5">
        <v>19701</v>
      </c>
      <c r="N61" s="5">
        <v>58425</v>
      </c>
      <c r="O61" s="5">
        <v>3800</v>
      </c>
      <c r="P61" s="6"/>
      <c r="Q61" s="5">
        <v>10092</v>
      </c>
      <c r="R61" s="5">
        <v>311100</v>
      </c>
      <c r="S61" s="6"/>
      <c r="T61" s="5">
        <v>28208</v>
      </c>
      <c r="U61" s="6"/>
      <c r="V61" s="5">
        <v>2650</v>
      </c>
      <c r="W61" s="6"/>
      <c r="X61" s="5">
        <v>3080</v>
      </c>
      <c r="Y61" s="6"/>
      <c r="Z61" s="7">
        <f t="shared" si="1"/>
        <v>1296861</v>
      </c>
    </row>
    <row r="62" spans="1:26" x14ac:dyDescent="0.45">
      <c r="A62" s="4" t="s">
        <v>144</v>
      </c>
      <c r="B62" s="5">
        <v>40663</v>
      </c>
      <c r="C62" s="5">
        <v>5750</v>
      </c>
      <c r="D62" s="5">
        <v>7600</v>
      </c>
      <c r="E62" s="5">
        <v>37641</v>
      </c>
      <c r="F62" s="5">
        <v>45875</v>
      </c>
      <c r="G62" s="5">
        <v>166375</v>
      </c>
      <c r="H62" s="5">
        <v>94231</v>
      </c>
      <c r="I62" s="5">
        <v>78575</v>
      </c>
      <c r="J62" s="5">
        <v>174922</v>
      </c>
      <c r="K62" s="6"/>
      <c r="L62" s="5">
        <v>47311</v>
      </c>
      <c r="M62" s="5">
        <v>15400</v>
      </c>
      <c r="N62" s="5">
        <v>43842</v>
      </c>
      <c r="O62" s="5">
        <v>43347</v>
      </c>
      <c r="P62" s="5">
        <v>43350</v>
      </c>
      <c r="Q62" s="5">
        <v>6749</v>
      </c>
      <c r="R62" s="5">
        <v>80618</v>
      </c>
      <c r="S62" s="5">
        <v>39258</v>
      </c>
      <c r="T62" s="5">
        <v>64504</v>
      </c>
      <c r="U62" s="5">
        <v>40535</v>
      </c>
      <c r="V62" s="5">
        <v>29600</v>
      </c>
      <c r="W62" s="5">
        <v>34123</v>
      </c>
      <c r="X62" s="5">
        <v>49203</v>
      </c>
      <c r="Y62" s="5">
        <v>93897</v>
      </c>
      <c r="Z62" s="7">
        <f t="shared" si="1"/>
        <v>1283369</v>
      </c>
    </row>
    <row r="63" spans="1:26" x14ac:dyDescent="0.45">
      <c r="A63" s="4" t="s">
        <v>140</v>
      </c>
      <c r="B63" s="5">
        <v>26884</v>
      </c>
      <c r="C63" s="5">
        <v>44800</v>
      </c>
      <c r="D63" s="5">
        <v>47225</v>
      </c>
      <c r="E63" s="5">
        <v>26380</v>
      </c>
      <c r="F63" s="5">
        <v>8000</v>
      </c>
      <c r="G63" s="5">
        <v>16400</v>
      </c>
      <c r="H63" s="5">
        <v>52912</v>
      </c>
      <c r="I63" s="5">
        <v>15000</v>
      </c>
      <c r="J63" s="5">
        <v>20800</v>
      </c>
      <c r="K63" s="5">
        <v>38012</v>
      </c>
      <c r="L63" s="5">
        <v>20480</v>
      </c>
      <c r="M63" s="5">
        <v>31250</v>
      </c>
      <c r="N63" s="5">
        <v>37283</v>
      </c>
      <c r="O63" s="5">
        <v>35700</v>
      </c>
      <c r="P63" s="5">
        <v>16750</v>
      </c>
      <c r="Q63" s="5">
        <v>19856</v>
      </c>
      <c r="R63" s="5">
        <v>45810</v>
      </c>
      <c r="S63" s="5">
        <v>42100</v>
      </c>
      <c r="T63" s="5">
        <v>83084</v>
      </c>
      <c r="U63" s="5">
        <v>307835</v>
      </c>
      <c r="V63" s="5">
        <v>190990</v>
      </c>
      <c r="W63" s="5">
        <v>67020</v>
      </c>
      <c r="X63" s="5">
        <v>33335</v>
      </c>
      <c r="Y63" s="5">
        <v>8750</v>
      </c>
      <c r="Z63" s="7">
        <f t="shared" si="1"/>
        <v>1236656</v>
      </c>
    </row>
    <row r="64" spans="1:26" x14ac:dyDescent="0.45">
      <c r="A64" s="4" t="s">
        <v>221</v>
      </c>
      <c r="B64" s="6"/>
      <c r="C64" s="5">
        <v>4000</v>
      </c>
      <c r="D64" s="6"/>
      <c r="E64" s="5">
        <v>153253</v>
      </c>
      <c r="F64" s="5">
        <v>33517</v>
      </c>
      <c r="G64" s="5">
        <v>39622</v>
      </c>
      <c r="H64" s="5">
        <v>849239</v>
      </c>
      <c r="I64" s="5">
        <v>20000</v>
      </c>
      <c r="J64" s="5">
        <v>49501</v>
      </c>
      <c r="K64" s="5">
        <v>6121</v>
      </c>
      <c r="L64" s="6"/>
      <c r="M64" s="5">
        <v>4200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>
        <f t="shared" si="1"/>
        <v>1159453</v>
      </c>
    </row>
    <row r="65" spans="1:26" x14ac:dyDescent="0.45">
      <c r="A65" s="4" t="s">
        <v>62</v>
      </c>
      <c r="B65" s="6"/>
      <c r="C65" s="6"/>
      <c r="D65" s="6"/>
      <c r="E65" s="6"/>
      <c r="F65" s="6"/>
      <c r="G65" s="5">
        <v>259663</v>
      </c>
      <c r="H65" s="5">
        <v>259500</v>
      </c>
      <c r="I65" s="5">
        <v>106000</v>
      </c>
      <c r="J65" s="5">
        <v>93707</v>
      </c>
      <c r="K65" s="6"/>
      <c r="L65" s="5">
        <v>10000</v>
      </c>
      <c r="M65" s="5">
        <v>13343</v>
      </c>
      <c r="N65" s="6"/>
      <c r="O65" s="6"/>
      <c r="P65" s="6"/>
      <c r="Q65" s="6"/>
      <c r="R65" s="6"/>
      <c r="S65" s="5">
        <v>228500</v>
      </c>
      <c r="T65" s="6"/>
      <c r="U65" s="6"/>
      <c r="V65" s="6"/>
      <c r="W65" s="6"/>
      <c r="X65" s="6"/>
      <c r="Y65" s="5">
        <v>30000</v>
      </c>
      <c r="Z65" s="7">
        <f t="shared" si="1"/>
        <v>1000713</v>
      </c>
    </row>
    <row r="66" spans="1:26" x14ac:dyDescent="0.45">
      <c r="A66" s="4" t="s">
        <v>68</v>
      </c>
      <c r="B66" s="6"/>
      <c r="C66" s="5">
        <v>74300</v>
      </c>
      <c r="D66" s="6"/>
      <c r="E66" s="5">
        <v>18188</v>
      </c>
      <c r="F66" s="6"/>
      <c r="G66" s="5">
        <v>84763</v>
      </c>
      <c r="H66" s="5">
        <v>21502</v>
      </c>
      <c r="I66" s="5">
        <v>284650</v>
      </c>
      <c r="J66" s="5">
        <v>53948</v>
      </c>
      <c r="K66" s="6"/>
      <c r="L66" s="5">
        <v>19183</v>
      </c>
      <c r="M66" s="5">
        <v>56600</v>
      </c>
      <c r="N66" s="6"/>
      <c r="O66" s="6"/>
      <c r="P66" s="6"/>
      <c r="Q66" s="5">
        <v>111181</v>
      </c>
      <c r="R66" s="5">
        <v>4800</v>
      </c>
      <c r="S66" s="6"/>
      <c r="T66" s="6"/>
      <c r="U66" s="6"/>
      <c r="V66" s="6"/>
      <c r="W66" s="5">
        <v>3676</v>
      </c>
      <c r="X66" s="5">
        <v>20836</v>
      </c>
      <c r="Y66" s="5">
        <v>51350</v>
      </c>
      <c r="Z66" s="7">
        <f t="shared" si="1"/>
        <v>804977</v>
      </c>
    </row>
    <row r="67" spans="1:26" x14ac:dyDescent="0.45">
      <c r="A67" s="4" t="s">
        <v>212</v>
      </c>
      <c r="B67" s="5">
        <v>31951</v>
      </c>
      <c r="C67" s="5">
        <v>2935</v>
      </c>
      <c r="D67" s="5">
        <v>14000</v>
      </c>
      <c r="E67" s="5">
        <v>14000</v>
      </c>
      <c r="F67" s="6"/>
      <c r="G67" s="6"/>
      <c r="H67" s="5">
        <v>10000</v>
      </c>
      <c r="I67" s="5">
        <v>20000</v>
      </c>
      <c r="J67" s="5">
        <v>191393</v>
      </c>
      <c r="K67" s="6"/>
      <c r="L67" s="6"/>
      <c r="M67" s="5">
        <v>36976</v>
      </c>
      <c r="N67" s="5">
        <v>8874</v>
      </c>
      <c r="O67" s="6"/>
      <c r="P67" s="5">
        <v>50850</v>
      </c>
      <c r="Q67" s="6"/>
      <c r="R67" s="5">
        <v>61687</v>
      </c>
      <c r="S67" s="5">
        <v>12307</v>
      </c>
      <c r="T67" s="5">
        <v>15924</v>
      </c>
      <c r="U67" s="5">
        <v>43736</v>
      </c>
      <c r="V67" s="5">
        <v>8442</v>
      </c>
      <c r="W67" s="5">
        <v>164130</v>
      </c>
      <c r="X67" s="6"/>
      <c r="Y67" s="5">
        <v>88808</v>
      </c>
      <c r="Z67" s="7">
        <f t="shared" ref="Z67:Z98" si="2">SUM(B67:Y67)</f>
        <v>776013</v>
      </c>
    </row>
    <row r="68" spans="1:26" x14ac:dyDescent="0.45">
      <c r="A68" s="4" t="s">
        <v>213</v>
      </c>
      <c r="B68" s="6"/>
      <c r="C68" s="5">
        <v>2500</v>
      </c>
      <c r="D68" s="5">
        <v>4000</v>
      </c>
      <c r="E68" s="6"/>
      <c r="F68" s="5">
        <v>10950</v>
      </c>
      <c r="G68" s="6"/>
      <c r="H68" s="6"/>
      <c r="I68" s="6"/>
      <c r="J68" s="6"/>
      <c r="K68" s="5">
        <v>11410</v>
      </c>
      <c r="L68" s="6"/>
      <c r="M68" s="6"/>
      <c r="N68" s="5">
        <v>17500</v>
      </c>
      <c r="O68" s="5">
        <v>40500</v>
      </c>
      <c r="P68" s="6"/>
      <c r="Q68" s="5">
        <v>132092</v>
      </c>
      <c r="R68" s="5">
        <v>376878</v>
      </c>
      <c r="S68" s="5">
        <v>11098</v>
      </c>
      <c r="T68" s="5">
        <v>11848</v>
      </c>
      <c r="U68" s="6"/>
      <c r="V68" s="5">
        <v>63350</v>
      </c>
      <c r="W68" s="5">
        <v>34981</v>
      </c>
      <c r="X68" s="6"/>
      <c r="Y68" s="5">
        <v>11000</v>
      </c>
      <c r="Z68" s="7">
        <f t="shared" si="2"/>
        <v>728107</v>
      </c>
    </row>
    <row r="69" spans="1:26" x14ac:dyDescent="0.45">
      <c r="A69" s="4" t="s">
        <v>10</v>
      </c>
      <c r="B69" s="6"/>
      <c r="C69" s="5">
        <v>10070</v>
      </c>
      <c r="D69" s="5">
        <v>66300</v>
      </c>
      <c r="E69" s="5">
        <v>65578</v>
      </c>
      <c r="F69" s="5">
        <v>92673</v>
      </c>
      <c r="G69" s="5">
        <v>4720</v>
      </c>
      <c r="H69" s="5">
        <v>59019</v>
      </c>
      <c r="I69" s="5">
        <v>88476</v>
      </c>
      <c r="J69" s="5">
        <v>10283</v>
      </c>
      <c r="K69" s="5">
        <v>18619</v>
      </c>
      <c r="L69" s="5">
        <v>4500</v>
      </c>
      <c r="M69" s="6"/>
      <c r="N69" s="5">
        <v>24097</v>
      </c>
      <c r="O69" s="5">
        <v>11936</v>
      </c>
      <c r="P69" s="5">
        <v>15997</v>
      </c>
      <c r="Q69" s="6"/>
      <c r="R69" s="5">
        <v>11250</v>
      </c>
      <c r="S69" s="6"/>
      <c r="T69" s="5">
        <v>33500</v>
      </c>
      <c r="U69" s="5">
        <v>25200</v>
      </c>
      <c r="V69" s="6"/>
      <c r="W69" s="5">
        <v>24627</v>
      </c>
      <c r="X69" s="5">
        <v>7668</v>
      </c>
      <c r="Y69" s="5">
        <v>6489</v>
      </c>
      <c r="Z69" s="7">
        <f t="shared" si="2"/>
        <v>581002</v>
      </c>
    </row>
    <row r="70" spans="1:26" x14ac:dyDescent="0.45">
      <c r="A70" s="4" t="s">
        <v>219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5">
        <v>550333</v>
      </c>
      <c r="Y70" s="6"/>
      <c r="Z70" s="7">
        <f t="shared" si="2"/>
        <v>550333</v>
      </c>
    </row>
    <row r="71" spans="1:26" x14ac:dyDescent="0.45">
      <c r="A71" s="4" t="s">
        <v>220</v>
      </c>
      <c r="B71" s="6"/>
      <c r="C71" s="5">
        <v>53500</v>
      </c>
      <c r="D71" s="6"/>
      <c r="E71" s="6"/>
      <c r="F71" s="6"/>
      <c r="G71" s="6"/>
      <c r="H71" s="5">
        <v>78000</v>
      </c>
      <c r="I71" s="6"/>
      <c r="J71" s="6"/>
      <c r="K71" s="5">
        <v>2500</v>
      </c>
      <c r="L71" s="6"/>
      <c r="M71" s="6"/>
      <c r="N71" s="6"/>
      <c r="O71" s="6"/>
      <c r="P71" s="6"/>
      <c r="Q71" s="6"/>
      <c r="R71" s="6"/>
      <c r="S71" s="6"/>
      <c r="T71" s="6"/>
      <c r="U71" s="5">
        <v>365700</v>
      </c>
      <c r="V71" s="6"/>
      <c r="W71" s="6"/>
      <c r="X71" s="6"/>
      <c r="Y71" s="6"/>
      <c r="Z71" s="7">
        <f t="shared" si="2"/>
        <v>499700</v>
      </c>
    </row>
    <row r="72" spans="1:26" x14ac:dyDescent="0.45">
      <c r="A72" s="4" t="s">
        <v>194</v>
      </c>
      <c r="B72" s="6"/>
      <c r="C72" s="5">
        <v>25000</v>
      </c>
      <c r="D72" s="6"/>
      <c r="E72" s="5">
        <v>17120</v>
      </c>
      <c r="F72" s="6"/>
      <c r="G72" s="6"/>
      <c r="H72" s="6"/>
      <c r="I72" s="5">
        <v>113126</v>
      </c>
      <c r="J72" s="5">
        <v>34000</v>
      </c>
      <c r="K72" s="5">
        <v>17500</v>
      </c>
      <c r="L72" s="5">
        <v>82338</v>
      </c>
      <c r="M72" s="5">
        <v>46500</v>
      </c>
      <c r="N72" s="5">
        <v>87000</v>
      </c>
      <c r="O72" s="5">
        <v>29000</v>
      </c>
      <c r="P72" s="5">
        <v>20000</v>
      </c>
      <c r="Q72" s="6"/>
      <c r="R72" s="6"/>
      <c r="S72" s="6"/>
      <c r="T72" s="6"/>
      <c r="U72" s="6"/>
      <c r="V72" s="6"/>
      <c r="W72" s="6"/>
      <c r="X72" s="6"/>
      <c r="Y72" s="6"/>
      <c r="Z72" s="7">
        <f t="shared" si="2"/>
        <v>471584</v>
      </c>
    </row>
    <row r="73" spans="1:26" x14ac:dyDescent="0.45">
      <c r="A73" s="4" t="s">
        <v>136</v>
      </c>
      <c r="B73" s="6"/>
      <c r="C73" s="5">
        <v>19800</v>
      </c>
      <c r="D73" s="6"/>
      <c r="E73" s="5">
        <v>116000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5">
        <v>2400</v>
      </c>
      <c r="R73" s="6"/>
      <c r="S73" s="6"/>
      <c r="T73" s="6"/>
      <c r="U73" s="6"/>
      <c r="V73" s="5">
        <v>40060</v>
      </c>
      <c r="W73" s="6"/>
      <c r="X73" s="5">
        <v>14084</v>
      </c>
      <c r="Y73" s="5">
        <v>173558</v>
      </c>
      <c r="Z73" s="7">
        <f t="shared" si="2"/>
        <v>365902</v>
      </c>
    </row>
    <row r="74" spans="1:26" x14ac:dyDescent="0.45">
      <c r="A74" s="4" t="s">
        <v>218</v>
      </c>
      <c r="B74" s="6"/>
      <c r="C74" s="6"/>
      <c r="D74" s="5">
        <v>5000</v>
      </c>
      <c r="E74" s="6"/>
      <c r="F74" s="6"/>
      <c r="G74" s="5">
        <v>45000</v>
      </c>
      <c r="H74" s="5">
        <v>294678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>
        <f t="shared" si="2"/>
        <v>344678</v>
      </c>
    </row>
    <row r="75" spans="1:26" x14ac:dyDescent="0.45">
      <c r="A75" s="4" t="s">
        <v>134</v>
      </c>
      <c r="B75" s="5">
        <v>158500</v>
      </c>
      <c r="C75" s="5">
        <v>27170</v>
      </c>
      <c r="D75" s="5">
        <v>146510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5">
        <v>11162</v>
      </c>
      <c r="Y75" s="6"/>
      <c r="Z75" s="7">
        <f t="shared" si="2"/>
        <v>343342</v>
      </c>
    </row>
    <row r="76" spans="1:26" x14ac:dyDescent="0.45">
      <c r="A76" s="4" t="s">
        <v>115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5">
        <v>289995</v>
      </c>
      <c r="X76" s="6"/>
      <c r="Y76" s="6"/>
      <c r="Z76" s="7">
        <f t="shared" si="2"/>
        <v>289995</v>
      </c>
    </row>
    <row r="77" spans="1:26" x14ac:dyDescent="0.45">
      <c r="A77" s="4" t="s">
        <v>40</v>
      </c>
      <c r="B77" s="6"/>
      <c r="C77" s="6"/>
      <c r="D77" s="6"/>
      <c r="E77" s="6"/>
      <c r="F77" s="6"/>
      <c r="G77" s="6"/>
      <c r="H77" s="6"/>
      <c r="I77" s="5">
        <v>12000</v>
      </c>
      <c r="J77" s="5">
        <v>6200</v>
      </c>
      <c r="K77" s="5">
        <v>3500</v>
      </c>
      <c r="L77" s="5">
        <v>7700</v>
      </c>
      <c r="M77" s="6"/>
      <c r="N77" s="5">
        <v>26065</v>
      </c>
      <c r="O77" s="5">
        <v>12300</v>
      </c>
      <c r="P77" s="5">
        <v>58800</v>
      </c>
      <c r="Q77" s="6"/>
      <c r="R77" s="6"/>
      <c r="S77" s="5">
        <v>25968</v>
      </c>
      <c r="T77" s="5">
        <v>15970</v>
      </c>
      <c r="U77" s="5">
        <v>55515</v>
      </c>
      <c r="V77" s="5">
        <v>8393</v>
      </c>
      <c r="W77" s="6"/>
      <c r="X77" s="6"/>
      <c r="Y77" s="5">
        <v>19440</v>
      </c>
      <c r="Z77" s="7">
        <f t="shared" si="2"/>
        <v>251851</v>
      </c>
    </row>
    <row r="78" spans="1:26" x14ac:dyDescent="0.45">
      <c r="A78" s="4" t="s">
        <v>61</v>
      </c>
      <c r="B78" s="6"/>
      <c r="C78" s="5">
        <v>197311</v>
      </c>
      <c r="D78" s="5">
        <v>43500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>
        <f t="shared" si="2"/>
        <v>240811</v>
      </c>
    </row>
    <row r="79" spans="1:26" x14ac:dyDescent="0.45">
      <c r="A79" s="4" t="s">
        <v>61</v>
      </c>
      <c r="B79" s="6"/>
      <c r="C79" s="5">
        <v>197311</v>
      </c>
      <c r="D79" s="5">
        <v>43500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>
        <f t="shared" si="2"/>
        <v>240811</v>
      </c>
    </row>
    <row r="80" spans="1:26" x14ac:dyDescent="0.45">
      <c r="A80" s="4" t="s">
        <v>126</v>
      </c>
      <c r="B80" s="5">
        <v>11550</v>
      </c>
      <c r="C80" s="6"/>
      <c r="D80" s="6"/>
      <c r="E80" s="6"/>
      <c r="F80" s="5">
        <v>55839</v>
      </c>
      <c r="G80" s="6"/>
      <c r="H80" s="6"/>
      <c r="I80" s="6"/>
      <c r="J80" s="5">
        <v>79780</v>
      </c>
      <c r="K80" s="6"/>
      <c r="L80" s="5">
        <v>6815</v>
      </c>
      <c r="M80" s="6"/>
      <c r="N80" s="6"/>
      <c r="O80" s="6"/>
      <c r="P80" s="6"/>
      <c r="Q80" s="6"/>
      <c r="R80" s="5">
        <v>10000</v>
      </c>
      <c r="S80" s="6"/>
      <c r="T80" s="5">
        <v>25216</v>
      </c>
      <c r="U80" s="5">
        <v>21457</v>
      </c>
      <c r="V80" s="5">
        <v>4972</v>
      </c>
      <c r="W80" s="5">
        <v>10409</v>
      </c>
      <c r="X80" s="6"/>
      <c r="Y80" s="6"/>
      <c r="Z80" s="7">
        <f t="shared" si="2"/>
        <v>226038</v>
      </c>
    </row>
    <row r="81" spans="1:26" x14ac:dyDescent="0.45">
      <c r="A81" s="4" t="s">
        <v>200</v>
      </c>
      <c r="B81" s="6"/>
      <c r="C81" s="6"/>
      <c r="D81" s="6"/>
      <c r="E81" s="6"/>
      <c r="F81" s="6"/>
      <c r="G81" s="6"/>
      <c r="H81" s="5">
        <v>2200</v>
      </c>
      <c r="I81" s="6"/>
      <c r="J81" s="5">
        <v>138110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5">
        <v>40800</v>
      </c>
      <c r="W81" s="6"/>
      <c r="X81" s="6"/>
      <c r="Y81" s="6"/>
      <c r="Z81" s="7">
        <f t="shared" si="2"/>
        <v>181110</v>
      </c>
    </row>
    <row r="82" spans="1:26" x14ac:dyDescent="0.45">
      <c r="A82" s="4" t="s">
        <v>74</v>
      </c>
      <c r="B82" s="6"/>
      <c r="C82" s="5">
        <v>6300</v>
      </c>
      <c r="D82" s="6"/>
      <c r="E82" s="6"/>
      <c r="F82" s="6"/>
      <c r="G82" s="5">
        <v>95600</v>
      </c>
      <c r="H82" s="5">
        <v>24705</v>
      </c>
      <c r="I82" s="6"/>
      <c r="J82" s="5">
        <v>27900</v>
      </c>
      <c r="K82" s="5">
        <v>3000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5">
        <v>7938</v>
      </c>
      <c r="X82" s="6"/>
      <c r="Y82" s="6"/>
      <c r="Z82" s="7">
        <f t="shared" si="2"/>
        <v>165443</v>
      </c>
    </row>
    <row r="83" spans="1:26" x14ac:dyDescent="0.45">
      <c r="A83" s="4" t="s">
        <v>189</v>
      </c>
      <c r="B83" s="6"/>
      <c r="C83" s="6"/>
      <c r="D83" s="6"/>
      <c r="E83" s="5">
        <v>7500</v>
      </c>
      <c r="F83" s="5">
        <v>42500</v>
      </c>
      <c r="G83" s="6"/>
      <c r="H83" s="6"/>
      <c r="I83" s="6"/>
      <c r="J83" s="6"/>
      <c r="K83" s="6"/>
      <c r="L83" s="6"/>
      <c r="M83" s="6"/>
      <c r="N83" s="6"/>
      <c r="O83" s="5">
        <v>6536</v>
      </c>
      <c r="P83" s="6"/>
      <c r="Q83" s="5">
        <v>75007</v>
      </c>
      <c r="R83" s="6"/>
      <c r="S83" s="6"/>
      <c r="T83" s="6"/>
      <c r="U83" s="6"/>
      <c r="V83" s="6"/>
      <c r="W83" s="6"/>
      <c r="X83" s="5">
        <v>25000</v>
      </c>
      <c r="Y83" s="6"/>
      <c r="Z83" s="7">
        <f t="shared" si="2"/>
        <v>156543</v>
      </c>
    </row>
    <row r="84" spans="1:26" x14ac:dyDescent="0.45">
      <c r="A84" s="4" t="s">
        <v>112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5">
        <v>16819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5">
        <v>125026</v>
      </c>
      <c r="Y84" s="6"/>
      <c r="Z84" s="7">
        <f t="shared" si="2"/>
        <v>141845</v>
      </c>
    </row>
    <row r="85" spans="1:26" x14ac:dyDescent="0.45">
      <c r="A85" s="4" t="s">
        <v>150</v>
      </c>
      <c r="B85" s="6"/>
      <c r="C85" s="6"/>
      <c r="D85" s="6"/>
      <c r="E85" s="6"/>
      <c r="F85" s="6"/>
      <c r="G85" s="6"/>
      <c r="H85" s="6"/>
      <c r="I85" s="6"/>
      <c r="J85" s="5">
        <v>4234</v>
      </c>
      <c r="K85" s="6"/>
      <c r="L85" s="6"/>
      <c r="M85" s="5">
        <v>18000</v>
      </c>
      <c r="N85" s="5">
        <v>6711</v>
      </c>
      <c r="O85" s="6"/>
      <c r="P85" s="5">
        <v>2741</v>
      </c>
      <c r="Q85" s="5">
        <v>10807</v>
      </c>
      <c r="R85" s="6"/>
      <c r="S85" s="5">
        <v>10080</v>
      </c>
      <c r="T85" s="6"/>
      <c r="U85" s="6"/>
      <c r="V85" s="5">
        <v>29192</v>
      </c>
      <c r="W85" s="6"/>
      <c r="X85" s="6"/>
      <c r="Y85" s="6"/>
      <c r="Z85" s="7">
        <f t="shared" si="2"/>
        <v>81765</v>
      </c>
    </row>
    <row r="86" spans="1:26" x14ac:dyDescent="0.45">
      <c r="A86" s="4" t="s">
        <v>142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5">
        <v>80000</v>
      </c>
      <c r="W86" s="6"/>
      <c r="X86" s="6"/>
      <c r="Y86" s="6"/>
      <c r="Z86" s="7">
        <f t="shared" si="2"/>
        <v>80000</v>
      </c>
    </row>
    <row r="87" spans="1:26" x14ac:dyDescent="0.45">
      <c r="A87" s="4" t="s">
        <v>73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5">
        <v>54700</v>
      </c>
      <c r="Y87" s="6"/>
      <c r="Z87" s="7">
        <f t="shared" si="2"/>
        <v>54700</v>
      </c>
    </row>
    <row r="88" spans="1:26" x14ac:dyDescent="0.45">
      <c r="A88" s="4" t="s">
        <v>192</v>
      </c>
      <c r="B88" s="6"/>
      <c r="C88" s="5">
        <v>6000</v>
      </c>
      <c r="D88" s="5">
        <v>14390</v>
      </c>
      <c r="E88" s="5">
        <v>9800</v>
      </c>
      <c r="F88" s="6"/>
      <c r="G88" s="6"/>
      <c r="H88" s="6"/>
      <c r="I88" s="6"/>
      <c r="J88" s="6"/>
      <c r="K88" s="6"/>
      <c r="L88" s="5">
        <v>10100</v>
      </c>
      <c r="M88" s="6"/>
      <c r="N88" s="6"/>
      <c r="O88" s="6"/>
      <c r="P88" s="6"/>
      <c r="Q88" s="6"/>
      <c r="R88" s="6"/>
      <c r="S88" s="6"/>
      <c r="T88" s="6"/>
      <c r="U88" s="5">
        <v>13000</v>
      </c>
      <c r="V88" s="6"/>
      <c r="W88" s="6"/>
      <c r="X88" s="6"/>
      <c r="Y88" s="6"/>
      <c r="Z88" s="7">
        <f t="shared" si="2"/>
        <v>53290</v>
      </c>
    </row>
    <row r="89" spans="1:26" x14ac:dyDescent="0.45">
      <c r="A89" s="4" t="s">
        <v>90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5">
        <v>30792</v>
      </c>
      <c r="N89" s="6"/>
      <c r="O89" s="6"/>
      <c r="P89" s="6"/>
      <c r="Q89" s="6"/>
      <c r="R89" s="6"/>
      <c r="S89" s="6"/>
      <c r="T89" s="6"/>
      <c r="U89" s="5">
        <v>20890</v>
      </c>
      <c r="V89" s="6"/>
      <c r="W89" s="6"/>
      <c r="X89" s="6"/>
      <c r="Y89" s="6"/>
      <c r="Z89" s="7">
        <f t="shared" si="2"/>
        <v>51682</v>
      </c>
    </row>
    <row r="90" spans="1:26" x14ac:dyDescent="0.45">
      <c r="A90" s="4" t="s">
        <v>141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5">
        <v>24829</v>
      </c>
      <c r="W90" s="5">
        <v>26370</v>
      </c>
      <c r="X90" s="6"/>
      <c r="Y90" s="6"/>
      <c r="Z90" s="7">
        <f t="shared" si="2"/>
        <v>51199</v>
      </c>
    </row>
    <row r="91" spans="1:26" x14ac:dyDescent="0.45">
      <c r="A91" s="4" t="s">
        <v>114</v>
      </c>
      <c r="B91" s="6"/>
      <c r="C91" s="6"/>
      <c r="D91" s="6"/>
      <c r="E91" s="6"/>
      <c r="F91" s="6"/>
      <c r="G91" s="6"/>
      <c r="H91" s="6"/>
      <c r="I91" s="5">
        <v>5656</v>
      </c>
      <c r="J91" s="6"/>
      <c r="K91" s="6"/>
      <c r="L91" s="6"/>
      <c r="M91" s="6"/>
      <c r="N91" s="5">
        <v>9034</v>
      </c>
      <c r="O91" s="6"/>
      <c r="P91" s="6"/>
      <c r="Q91" s="6"/>
      <c r="R91" s="5">
        <v>30000</v>
      </c>
      <c r="S91" s="6"/>
      <c r="T91" s="6"/>
      <c r="U91" s="6"/>
      <c r="V91" s="6"/>
      <c r="W91" s="6"/>
      <c r="X91" s="6"/>
      <c r="Y91" s="6"/>
      <c r="Z91" s="7">
        <f t="shared" si="2"/>
        <v>44690</v>
      </c>
    </row>
    <row r="92" spans="1:26" x14ac:dyDescent="0.45">
      <c r="A92" s="4" t="s">
        <v>128</v>
      </c>
      <c r="B92" s="6"/>
      <c r="C92" s="6"/>
      <c r="D92" s="6"/>
      <c r="E92" s="5">
        <v>4528</v>
      </c>
      <c r="F92" s="6"/>
      <c r="G92" s="6"/>
      <c r="H92" s="6"/>
      <c r="I92" s="5">
        <v>15232</v>
      </c>
      <c r="J92" s="6"/>
      <c r="K92" s="6"/>
      <c r="L92" s="6"/>
      <c r="M92" s="6"/>
      <c r="N92" s="6"/>
      <c r="O92" s="5">
        <v>5000</v>
      </c>
      <c r="P92" s="6"/>
      <c r="Q92" s="6"/>
      <c r="R92" s="5">
        <v>13216</v>
      </c>
      <c r="S92" s="6"/>
      <c r="T92" s="6"/>
      <c r="U92" s="6"/>
      <c r="V92" s="6"/>
      <c r="W92" s="6"/>
      <c r="X92" s="6"/>
      <c r="Y92" s="6"/>
      <c r="Z92" s="7">
        <f t="shared" si="2"/>
        <v>37976</v>
      </c>
    </row>
    <row r="93" spans="1:26" x14ac:dyDescent="0.45">
      <c r="A93" s="4" t="s">
        <v>67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5">
        <v>30682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>
        <f t="shared" si="2"/>
        <v>30682</v>
      </c>
    </row>
    <row r="94" spans="1:26" x14ac:dyDescent="0.45">
      <c r="A94" s="4" t="s">
        <v>195</v>
      </c>
      <c r="B94" s="6"/>
      <c r="C94" s="6"/>
      <c r="D94" s="6"/>
      <c r="E94" s="5">
        <v>30001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>
        <f t="shared" si="2"/>
        <v>30001</v>
      </c>
    </row>
    <row r="95" spans="1:26" x14ac:dyDescent="0.45">
      <c r="A95" s="4" t="s">
        <v>50</v>
      </c>
      <c r="B95" s="6"/>
      <c r="C95" s="6"/>
      <c r="D95" s="6"/>
      <c r="E95" s="5">
        <v>28000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>
        <f t="shared" si="2"/>
        <v>28000</v>
      </c>
    </row>
    <row r="96" spans="1:26" x14ac:dyDescent="0.45">
      <c r="A96" s="4" t="s">
        <v>89</v>
      </c>
      <c r="B96" s="6"/>
      <c r="C96" s="6"/>
      <c r="D96" s="6"/>
      <c r="E96" s="6"/>
      <c r="F96" s="6"/>
      <c r="G96" s="6"/>
      <c r="H96" s="5">
        <v>5802</v>
      </c>
      <c r="I96" s="6"/>
      <c r="J96" s="6"/>
      <c r="K96" s="5">
        <v>18345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>
        <f t="shared" si="2"/>
        <v>24147</v>
      </c>
    </row>
    <row r="97" spans="1:26" x14ac:dyDescent="0.45">
      <c r="A97" s="4" t="s">
        <v>133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5">
        <v>22000</v>
      </c>
      <c r="S97" s="6"/>
      <c r="T97" s="6"/>
      <c r="U97" s="6"/>
      <c r="V97" s="6"/>
      <c r="W97" s="6"/>
      <c r="X97" s="6"/>
      <c r="Y97" s="6"/>
      <c r="Z97" s="7">
        <f t="shared" si="2"/>
        <v>22000</v>
      </c>
    </row>
    <row r="98" spans="1:26" x14ac:dyDescent="0.45">
      <c r="A98" s="4" t="s">
        <v>132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5">
        <v>19696</v>
      </c>
      <c r="Y98" s="6"/>
      <c r="Z98" s="7">
        <f t="shared" si="2"/>
        <v>19696</v>
      </c>
    </row>
    <row r="99" spans="1:26" x14ac:dyDescent="0.45">
      <c r="A99" s="4" t="s">
        <v>59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5">
        <v>5514</v>
      </c>
      <c r="U99" s="5">
        <v>8517</v>
      </c>
      <c r="V99" s="6"/>
      <c r="W99" s="6"/>
      <c r="X99" s="6"/>
      <c r="Y99" s="6"/>
      <c r="Z99" s="7">
        <f t="shared" ref="Z99:Z130" si="3">SUM(B99:Y99)</f>
        <v>14031</v>
      </c>
    </row>
    <row r="100" spans="1:26" x14ac:dyDescent="0.45">
      <c r="A100" s="4" t="s">
        <v>205</v>
      </c>
      <c r="B100" s="6"/>
      <c r="C100" s="6"/>
      <c r="D100" s="6"/>
      <c r="E100" s="6"/>
      <c r="F100" s="6"/>
      <c r="G100" s="6"/>
      <c r="H100" s="5">
        <v>9090</v>
      </c>
      <c r="I100" s="6"/>
      <c r="J100" s="6"/>
      <c r="K100" s="6"/>
      <c r="L100" s="6"/>
      <c r="M100" s="6"/>
      <c r="N100" s="6"/>
      <c r="O100" s="6"/>
      <c r="P100" s="6"/>
      <c r="Q100" s="6"/>
      <c r="R100" s="5">
        <v>3750</v>
      </c>
      <c r="S100" s="6"/>
      <c r="T100" s="6"/>
      <c r="U100" s="6"/>
      <c r="V100" s="6"/>
      <c r="W100" s="6"/>
      <c r="X100" s="6"/>
      <c r="Y100" s="6"/>
      <c r="Z100" s="7">
        <f t="shared" si="3"/>
        <v>12840</v>
      </c>
    </row>
    <row r="101" spans="1:26" x14ac:dyDescent="0.45">
      <c r="A101" s="4" t="s">
        <v>139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5">
        <v>2727</v>
      </c>
      <c r="O101" s="6"/>
      <c r="P101" s="6"/>
      <c r="Q101" s="6"/>
      <c r="R101" s="6"/>
      <c r="S101" s="6"/>
      <c r="T101" s="5">
        <v>5567</v>
      </c>
      <c r="U101" s="6"/>
      <c r="V101" s="6"/>
      <c r="W101" s="6"/>
      <c r="X101" s="6"/>
      <c r="Y101" s="5">
        <v>4000</v>
      </c>
      <c r="Z101" s="7">
        <f t="shared" si="3"/>
        <v>12294</v>
      </c>
    </row>
    <row r="102" spans="1:26" x14ac:dyDescent="0.45">
      <c r="A102" s="4" t="s">
        <v>217</v>
      </c>
      <c r="B102" s="6"/>
      <c r="C102" s="6"/>
      <c r="D102" s="6"/>
      <c r="E102" s="6"/>
      <c r="F102" s="6"/>
      <c r="G102" s="6"/>
      <c r="H102" s="6"/>
      <c r="I102" s="6"/>
      <c r="J102" s="6"/>
      <c r="K102" s="5">
        <v>10000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>
        <f t="shared" si="3"/>
        <v>10000</v>
      </c>
    </row>
    <row r="103" spans="1:26" x14ac:dyDescent="0.45">
      <c r="A103" s="4" t="s">
        <v>123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5">
        <v>8500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>
        <f t="shared" si="3"/>
        <v>8500</v>
      </c>
    </row>
    <row r="104" spans="1:26" x14ac:dyDescent="0.45">
      <c r="A104" s="4" t="s">
        <v>55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5">
        <v>6053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>
        <f t="shared" si="3"/>
        <v>6053</v>
      </c>
    </row>
    <row r="105" spans="1:26" x14ac:dyDescent="0.45">
      <c r="A105" s="4" t="s">
        <v>77</v>
      </c>
      <c r="B105" s="6"/>
      <c r="C105" s="5">
        <v>6000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>
        <f t="shared" si="3"/>
        <v>6000</v>
      </c>
    </row>
    <row r="106" spans="1:26" x14ac:dyDescent="0.45">
      <c r="A106" s="4" t="s">
        <v>39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5">
        <v>3750</v>
      </c>
      <c r="X106" s="6"/>
      <c r="Y106" s="6"/>
      <c r="Z106" s="7">
        <f t="shared" si="3"/>
        <v>3750</v>
      </c>
    </row>
    <row r="107" spans="1:26" x14ac:dyDescent="0.45">
      <c r="A107" s="4" t="s">
        <v>182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5">
        <v>3000</v>
      </c>
      <c r="V107" s="6"/>
      <c r="W107" s="6"/>
      <c r="X107" s="6"/>
      <c r="Y107" s="6"/>
      <c r="Z107" s="7">
        <f t="shared" si="3"/>
        <v>3000</v>
      </c>
    </row>
    <row r="108" spans="1:26" x14ac:dyDescent="0.45">
      <c r="A108" s="4" t="s">
        <v>176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5">
        <v>2745</v>
      </c>
      <c r="R108" s="6"/>
      <c r="S108" s="6"/>
      <c r="T108" s="6"/>
      <c r="U108" s="6"/>
      <c r="V108" s="6"/>
      <c r="W108" s="6"/>
      <c r="X108" s="6"/>
      <c r="Y108" s="6"/>
      <c r="Z108" s="7">
        <f t="shared" si="3"/>
        <v>2745</v>
      </c>
    </row>
    <row r="109" spans="1:26" x14ac:dyDescent="0.45">
      <c r="A109" s="4" t="s">
        <v>191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5">
        <v>2597</v>
      </c>
      <c r="Q109" s="6"/>
      <c r="R109" s="6"/>
      <c r="S109" s="6"/>
      <c r="T109" s="6"/>
      <c r="U109" s="6"/>
      <c r="V109" s="6"/>
      <c r="W109" s="6"/>
      <c r="X109" s="6"/>
      <c r="Y109" s="6"/>
      <c r="Z109" s="7">
        <f t="shared" si="3"/>
        <v>2597</v>
      </c>
    </row>
    <row r="110" spans="1:26" x14ac:dyDescent="0.45">
      <c r="A110" s="4" t="s">
        <v>51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>
        <f t="shared" si="3"/>
        <v>0</v>
      </c>
    </row>
    <row r="111" spans="1:26" x14ac:dyDescent="0.45">
      <c r="A111" s="4" t="s">
        <v>52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>
        <f t="shared" si="3"/>
        <v>0</v>
      </c>
    </row>
    <row r="112" spans="1:26" x14ac:dyDescent="0.45">
      <c r="A112" s="4" t="s">
        <v>53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>
        <f t="shared" si="3"/>
        <v>0</v>
      </c>
    </row>
    <row r="113" spans="1:26" x14ac:dyDescent="0.45">
      <c r="A113" s="4" t="s">
        <v>56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>
        <f t="shared" si="3"/>
        <v>0</v>
      </c>
    </row>
    <row r="114" spans="1:26" x14ac:dyDescent="0.45">
      <c r="A114" s="4" t="s">
        <v>57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>
        <f t="shared" si="3"/>
        <v>0</v>
      </c>
    </row>
    <row r="115" spans="1:26" x14ac:dyDescent="0.45">
      <c r="A115" s="4" t="s">
        <v>58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>
        <f t="shared" si="3"/>
        <v>0</v>
      </c>
    </row>
    <row r="116" spans="1:26" x14ac:dyDescent="0.45">
      <c r="A116" s="4" t="s">
        <v>60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>
        <f t="shared" si="3"/>
        <v>0</v>
      </c>
    </row>
    <row r="117" spans="1:26" x14ac:dyDescent="0.45">
      <c r="A117" s="4" t="s">
        <v>63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>
        <f t="shared" si="3"/>
        <v>0</v>
      </c>
    </row>
    <row r="118" spans="1:26" x14ac:dyDescent="0.45">
      <c r="A118" s="4" t="s">
        <v>64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>
        <f t="shared" si="3"/>
        <v>0</v>
      </c>
    </row>
    <row r="119" spans="1:26" x14ac:dyDescent="0.45">
      <c r="A119" s="4" t="s">
        <v>66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>
        <f t="shared" si="3"/>
        <v>0</v>
      </c>
    </row>
    <row r="120" spans="1:26" x14ac:dyDescent="0.45">
      <c r="A120" s="4" t="s">
        <v>70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>
        <f t="shared" si="3"/>
        <v>0</v>
      </c>
    </row>
    <row r="121" spans="1:26" x14ac:dyDescent="0.45">
      <c r="A121" s="4" t="s">
        <v>41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>
        <f t="shared" si="3"/>
        <v>0</v>
      </c>
    </row>
    <row r="122" spans="1:26" x14ac:dyDescent="0.45">
      <c r="A122" s="4" t="s">
        <v>42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>
        <f t="shared" si="3"/>
        <v>0</v>
      </c>
    </row>
    <row r="123" spans="1:26" x14ac:dyDescent="0.45">
      <c r="A123" s="4" t="s">
        <v>43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>
        <f t="shared" si="3"/>
        <v>0</v>
      </c>
    </row>
    <row r="124" spans="1:26" x14ac:dyDescent="0.45">
      <c r="A124" s="4" t="s">
        <v>71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>
        <f t="shared" si="3"/>
        <v>0</v>
      </c>
    </row>
    <row r="125" spans="1:26" x14ac:dyDescent="0.45">
      <c r="A125" s="4" t="s">
        <v>72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>
        <f t="shared" si="3"/>
        <v>0</v>
      </c>
    </row>
    <row r="126" spans="1:26" x14ac:dyDescent="0.45">
      <c r="A126" s="4" t="s">
        <v>75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>
        <f t="shared" si="3"/>
        <v>0</v>
      </c>
    </row>
    <row r="127" spans="1:26" x14ac:dyDescent="0.45">
      <c r="A127" s="4" t="s">
        <v>76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7">
        <f t="shared" si="3"/>
        <v>0</v>
      </c>
    </row>
    <row r="128" spans="1:26" x14ac:dyDescent="0.45">
      <c r="A128" s="4" t="s">
        <v>80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>
        <f t="shared" si="3"/>
        <v>0</v>
      </c>
    </row>
    <row r="129" spans="1:26" x14ac:dyDescent="0.45">
      <c r="A129" s="4" t="s">
        <v>81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7">
        <f t="shared" si="3"/>
        <v>0</v>
      </c>
    </row>
    <row r="130" spans="1:26" x14ac:dyDescent="0.45">
      <c r="A130" s="4" t="s">
        <v>82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7">
        <f t="shared" si="3"/>
        <v>0</v>
      </c>
    </row>
    <row r="131" spans="1:26" x14ac:dyDescent="0.45">
      <c r="A131" s="4" t="s">
        <v>83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7">
        <f t="shared" ref="Z131:Z162" si="4">SUM(B131:Y131)</f>
        <v>0</v>
      </c>
    </row>
    <row r="132" spans="1:26" x14ac:dyDescent="0.45">
      <c r="A132" s="4" t="s">
        <v>84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7">
        <f t="shared" si="4"/>
        <v>0</v>
      </c>
    </row>
    <row r="133" spans="1:26" x14ac:dyDescent="0.45">
      <c r="A133" s="4" t="s">
        <v>85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7">
        <f t="shared" si="4"/>
        <v>0</v>
      </c>
    </row>
    <row r="134" spans="1:26" x14ac:dyDescent="0.45">
      <c r="A134" s="4" t="s">
        <v>86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7">
        <f t="shared" si="4"/>
        <v>0</v>
      </c>
    </row>
    <row r="135" spans="1:26" x14ac:dyDescent="0.45">
      <c r="A135" s="4" t="s">
        <v>87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7">
        <f t="shared" si="4"/>
        <v>0</v>
      </c>
    </row>
    <row r="136" spans="1:26" x14ac:dyDescent="0.45">
      <c r="A136" s="4" t="s">
        <v>88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7">
        <f t="shared" si="4"/>
        <v>0</v>
      </c>
    </row>
    <row r="137" spans="1:26" x14ac:dyDescent="0.45">
      <c r="A137" s="4" t="s">
        <v>92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7">
        <f t="shared" si="4"/>
        <v>0</v>
      </c>
    </row>
    <row r="138" spans="1:26" x14ac:dyDescent="0.45">
      <c r="A138" s="4" t="s">
        <v>93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7">
        <f t="shared" si="4"/>
        <v>0</v>
      </c>
    </row>
    <row r="139" spans="1:26" x14ac:dyDescent="0.45">
      <c r="A139" s="4" t="s">
        <v>94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7">
        <f t="shared" si="4"/>
        <v>0</v>
      </c>
    </row>
    <row r="140" spans="1:26" x14ac:dyDescent="0.45">
      <c r="A140" s="4" t="s">
        <v>95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7">
        <f t="shared" si="4"/>
        <v>0</v>
      </c>
    </row>
    <row r="141" spans="1:26" x14ac:dyDescent="0.45">
      <c r="A141" s="4" t="s">
        <v>96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7">
        <f t="shared" si="4"/>
        <v>0</v>
      </c>
    </row>
    <row r="142" spans="1:26" x14ac:dyDescent="0.45">
      <c r="A142" s="4" t="s">
        <v>97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>
        <f t="shared" si="4"/>
        <v>0</v>
      </c>
    </row>
    <row r="143" spans="1:26" x14ac:dyDescent="0.45">
      <c r="A143" s="4" t="s">
        <v>98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7">
        <f t="shared" si="4"/>
        <v>0</v>
      </c>
    </row>
    <row r="144" spans="1:26" x14ac:dyDescent="0.45">
      <c r="A144" s="4" t="s">
        <v>99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7">
        <f t="shared" si="4"/>
        <v>0</v>
      </c>
    </row>
    <row r="145" spans="1:26" x14ac:dyDescent="0.45">
      <c r="A145" s="4" t="s">
        <v>100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7">
        <f t="shared" si="4"/>
        <v>0</v>
      </c>
    </row>
    <row r="146" spans="1:26" x14ac:dyDescent="0.45">
      <c r="A146" s="4" t="s">
        <v>101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7">
        <f t="shared" si="4"/>
        <v>0</v>
      </c>
    </row>
    <row r="147" spans="1:26" x14ac:dyDescent="0.45">
      <c r="A147" s="4" t="s">
        <v>102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7">
        <f t="shared" si="4"/>
        <v>0</v>
      </c>
    </row>
    <row r="148" spans="1:26" x14ac:dyDescent="0.45">
      <c r="A148" s="4" t="s">
        <v>103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7">
        <f t="shared" si="4"/>
        <v>0</v>
      </c>
    </row>
    <row r="149" spans="1:26" x14ac:dyDescent="0.45">
      <c r="A149" s="4" t="s">
        <v>105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>
        <f t="shared" si="4"/>
        <v>0</v>
      </c>
    </row>
    <row r="150" spans="1:26" x14ac:dyDescent="0.45">
      <c r="A150" s="4" t="s">
        <v>106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7">
        <f t="shared" si="4"/>
        <v>0</v>
      </c>
    </row>
    <row r="151" spans="1:26" x14ac:dyDescent="0.45">
      <c r="A151" s="4" t="s">
        <v>107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7">
        <f t="shared" si="4"/>
        <v>0</v>
      </c>
    </row>
    <row r="152" spans="1:26" x14ac:dyDescent="0.45">
      <c r="A152" s="4" t="s">
        <v>109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7">
        <f t="shared" si="4"/>
        <v>0</v>
      </c>
    </row>
    <row r="153" spans="1:26" x14ac:dyDescent="0.45">
      <c r="A153" s="4" t="s">
        <v>117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>
        <f t="shared" si="4"/>
        <v>0</v>
      </c>
    </row>
    <row r="154" spans="1:26" x14ac:dyDescent="0.45">
      <c r="A154" s="4" t="s">
        <v>120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7">
        <f t="shared" si="4"/>
        <v>0</v>
      </c>
    </row>
    <row r="155" spans="1:26" x14ac:dyDescent="0.45">
      <c r="A155" s="4" t="s">
        <v>125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7">
        <f t="shared" si="4"/>
        <v>0</v>
      </c>
    </row>
    <row r="156" spans="1:26" x14ac:dyDescent="0.45">
      <c r="A156" s="4" t="s">
        <v>131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7">
        <f t="shared" si="4"/>
        <v>0</v>
      </c>
    </row>
    <row r="157" spans="1:26" x14ac:dyDescent="0.45">
      <c r="A157" s="4" t="s">
        <v>135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7">
        <f t="shared" si="4"/>
        <v>0</v>
      </c>
    </row>
    <row r="158" spans="1:26" x14ac:dyDescent="0.45">
      <c r="A158" s="4" t="s">
        <v>138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7">
        <f t="shared" si="4"/>
        <v>0</v>
      </c>
    </row>
    <row r="159" spans="1:26" x14ac:dyDescent="0.45">
      <c r="A159" s="4" t="s">
        <v>149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7">
        <f t="shared" si="4"/>
        <v>0</v>
      </c>
    </row>
    <row r="160" spans="1:26" x14ac:dyDescent="0.45">
      <c r="A160" s="4" t="s">
        <v>151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7">
        <f t="shared" si="4"/>
        <v>0</v>
      </c>
    </row>
    <row r="161" spans="1:26" x14ac:dyDescent="0.45">
      <c r="A161" s="4" t="s">
        <v>152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7">
        <f t="shared" si="4"/>
        <v>0</v>
      </c>
    </row>
    <row r="162" spans="1:26" x14ac:dyDescent="0.45">
      <c r="A162" s="4" t="s">
        <v>156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7">
        <f t="shared" si="4"/>
        <v>0</v>
      </c>
    </row>
    <row r="163" spans="1:26" x14ac:dyDescent="0.45">
      <c r="A163" s="4" t="s">
        <v>159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7">
        <f t="shared" ref="Z163:Z194" si="5">SUM(B163:Y163)</f>
        <v>0</v>
      </c>
    </row>
    <row r="164" spans="1:26" x14ac:dyDescent="0.45">
      <c r="A164" s="4" t="s">
        <v>161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7">
        <f t="shared" si="5"/>
        <v>0</v>
      </c>
    </row>
    <row r="165" spans="1:26" x14ac:dyDescent="0.45">
      <c r="A165" s="4" t="s">
        <v>163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7">
        <f t="shared" si="5"/>
        <v>0</v>
      </c>
    </row>
    <row r="166" spans="1:26" x14ac:dyDescent="0.45">
      <c r="A166" s="4" t="s">
        <v>165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7">
        <f t="shared" si="5"/>
        <v>0</v>
      </c>
    </row>
    <row r="167" spans="1:26" x14ac:dyDescent="0.45">
      <c r="A167" s="4" t="s">
        <v>166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7">
        <f t="shared" si="5"/>
        <v>0</v>
      </c>
    </row>
    <row r="168" spans="1:26" x14ac:dyDescent="0.45">
      <c r="A168" s="4" t="s">
        <v>167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7">
        <f t="shared" si="5"/>
        <v>0</v>
      </c>
    </row>
    <row r="169" spans="1:26" x14ac:dyDescent="0.45">
      <c r="A169" s="4" t="s">
        <v>170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7">
        <f t="shared" si="5"/>
        <v>0</v>
      </c>
    </row>
    <row r="170" spans="1:26" x14ac:dyDescent="0.45">
      <c r="A170" s="4" t="s">
        <v>172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7">
        <f t="shared" si="5"/>
        <v>0</v>
      </c>
    </row>
    <row r="171" spans="1:26" x14ac:dyDescent="0.45">
      <c r="A171" s="4" t="s">
        <v>175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7">
        <f t="shared" si="5"/>
        <v>0</v>
      </c>
    </row>
    <row r="172" spans="1:26" x14ac:dyDescent="0.45">
      <c r="A172" s="4" t="s">
        <v>177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>
        <f t="shared" si="5"/>
        <v>0</v>
      </c>
    </row>
    <row r="173" spans="1:26" x14ac:dyDescent="0.45">
      <c r="A173" s="4" t="s">
        <v>178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7">
        <f t="shared" si="5"/>
        <v>0</v>
      </c>
    </row>
    <row r="174" spans="1:26" x14ac:dyDescent="0.45">
      <c r="A174" s="4" t="s">
        <v>179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7">
        <f t="shared" si="5"/>
        <v>0</v>
      </c>
    </row>
    <row r="175" spans="1:26" x14ac:dyDescent="0.45">
      <c r="A175" s="4" t="s">
        <v>180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7">
        <f t="shared" si="5"/>
        <v>0</v>
      </c>
    </row>
    <row r="176" spans="1:26" x14ac:dyDescent="0.45">
      <c r="A176" s="4" t="s">
        <v>181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>
        <f t="shared" si="5"/>
        <v>0</v>
      </c>
    </row>
    <row r="177" spans="1:26" x14ac:dyDescent="0.45">
      <c r="A177" s="4" t="s">
        <v>183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7">
        <f t="shared" si="5"/>
        <v>0</v>
      </c>
    </row>
    <row r="178" spans="1:26" x14ac:dyDescent="0.45">
      <c r="A178" s="4" t="s">
        <v>185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7">
        <f t="shared" si="5"/>
        <v>0</v>
      </c>
    </row>
    <row r="179" spans="1:26" x14ac:dyDescent="0.45">
      <c r="A179" s="4" t="s">
        <v>186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7">
        <f t="shared" si="5"/>
        <v>0</v>
      </c>
    </row>
    <row r="180" spans="1:26" x14ac:dyDescent="0.45">
      <c r="A180" s="4" t="s">
        <v>187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7">
        <f t="shared" si="5"/>
        <v>0</v>
      </c>
    </row>
    <row r="181" spans="1:26" x14ac:dyDescent="0.45">
      <c r="A181" s="4" t="s">
        <v>190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7">
        <f t="shared" si="5"/>
        <v>0</v>
      </c>
    </row>
    <row r="182" spans="1:26" x14ac:dyDescent="0.45">
      <c r="A182" s="4" t="s">
        <v>193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7">
        <f t="shared" si="5"/>
        <v>0</v>
      </c>
    </row>
    <row r="183" spans="1:26" x14ac:dyDescent="0.45">
      <c r="A183" s="4" t="s">
        <v>196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7">
        <f t="shared" si="5"/>
        <v>0</v>
      </c>
    </row>
    <row r="184" spans="1:26" x14ac:dyDescent="0.45">
      <c r="A184" s="4" t="s">
        <v>197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7">
        <f t="shared" si="5"/>
        <v>0</v>
      </c>
    </row>
    <row r="185" spans="1:26" x14ac:dyDescent="0.45">
      <c r="A185" s="4" t="s">
        <v>198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7">
        <f t="shared" si="5"/>
        <v>0</v>
      </c>
    </row>
    <row r="186" spans="1:26" x14ac:dyDescent="0.45">
      <c r="A186" s="4" t="s">
        <v>199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7">
        <f t="shared" si="5"/>
        <v>0</v>
      </c>
    </row>
    <row r="187" spans="1:26" x14ac:dyDescent="0.45">
      <c r="A187" s="4" t="s">
        <v>201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7">
        <f t="shared" si="5"/>
        <v>0</v>
      </c>
    </row>
    <row r="188" spans="1:26" x14ac:dyDescent="0.45">
      <c r="A188" s="4" t="s">
        <v>202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7">
        <f t="shared" si="5"/>
        <v>0</v>
      </c>
    </row>
    <row r="189" spans="1:26" x14ac:dyDescent="0.45">
      <c r="A189" s="4" t="s">
        <v>203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>
        <f t="shared" si="5"/>
        <v>0</v>
      </c>
    </row>
    <row r="190" spans="1:26" x14ac:dyDescent="0.45">
      <c r="A190" s="4" t="s">
        <v>204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7">
        <f t="shared" si="5"/>
        <v>0</v>
      </c>
    </row>
    <row r="191" spans="1:26" x14ac:dyDescent="0.45">
      <c r="A191" s="4" t="s">
        <v>206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>
        <f t="shared" si="5"/>
        <v>0</v>
      </c>
    </row>
    <row r="192" spans="1:26" x14ac:dyDescent="0.45">
      <c r="A192" s="4" t="s">
        <v>209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7">
        <f t="shared" si="5"/>
        <v>0</v>
      </c>
    </row>
    <row r="193" spans="1:26" x14ac:dyDescent="0.45">
      <c r="A193" s="4" t="s">
        <v>214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7">
        <f t="shared" si="5"/>
        <v>0</v>
      </c>
    </row>
    <row r="194" spans="1:26" x14ac:dyDescent="0.45">
      <c r="A194" s="4" t="s">
        <v>215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7">
        <f t="shared" si="5"/>
        <v>0</v>
      </c>
    </row>
    <row r="195" spans="1:26" x14ac:dyDescent="0.45">
      <c r="A195" s="4" t="s">
        <v>216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7">
        <f t="shared" ref="Z195:Z226" si="6">SUM(B195:Y195)</f>
        <v>0</v>
      </c>
    </row>
  </sheetData>
  <sortState xmlns:xlrd2="http://schemas.microsoft.com/office/spreadsheetml/2017/richdata2" ref="A3:Z195">
    <sortCondition descending="1" ref="Z3:Z1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FF1F-2037-4644-8AD2-E2C2D4AAE423}">
  <dimension ref="A1:H24"/>
  <sheetViews>
    <sheetView showGridLines="0" zoomScaleNormal="100" workbookViewId="0">
      <selection activeCell="K7" sqref="K7"/>
    </sheetView>
  </sheetViews>
  <sheetFormatPr defaultColWidth="8.6640625" defaultRowHeight="14.25" x14ac:dyDescent="0.45"/>
  <cols>
    <col min="1" max="1" width="16" style="10" customWidth="1"/>
    <col min="2" max="8" width="13" style="10" customWidth="1"/>
    <col min="9" max="16384" width="8.6640625" style="10"/>
  </cols>
  <sheetData>
    <row r="1" spans="1:8" ht="18.75" x14ac:dyDescent="0.5">
      <c r="A1" s="9" t="s">
        <v>223</v>
      </c>
      <c r="B1" s="9"/>
      <c r="C1" s="9"/>
      <c r="D1" s="9"/>
      <c r="E1" s="9"/>
      <c r="F1" s="9"/>
      <c r="G1" s="9"/>
      <c r="H1" s="9"/>
    </row>
    <row r="2" spans="1:8" x14ac:dyDescent="0.45">
      <c r="A2" s="11" t="s">
        <v>224</v>
      </c>
      <c r="B2" s="11"/>
      <c r="C2" s="11"/>
      <c r="D2" s="11"/>
      <c r="E2" s="11"/>
      <c r="F2" s="11"/>
      <c r="G2" s="11"/>
      <c r="H2" s="11"/>
    </row>
    <row r="4" spans="1:8" x14ac:dyDescent="0.45">
      <c r="A4" s="12" t="s">
        <v>225</v>
      </c>
      <c r="B4" s="12"/>
      <c r="C4" s="12"/>
      <c r="D4" s="12"/>
      <c r="E4" s="12"/>
      <c r="F4" s="12"/>
      <c r="G4" s="12"/>
      <c r="H4" s="12"/>
    </row>
    <row r="5" spans="1:8" x14ac:dyDescent="0.45">
      <c r="A5" s="13" t="s">
        <v>226</v>
      </c>
      <c r="B5" s="13"/>
      <c r="C5" s="13"/>
      <c r="D5" s="13" t="s">
        <v>227</v>
      </c>
      <c r="E5" s="13"/>
      <c r="F5" s="13" t="s">
        <v>228</v>
      </c>
      <c r="G5" s="13"/>
    </row>
    <row r="6" spans="1:8" x14ac:dyDescent="0.45">
      <c r="A6" s="14" t="s">
        <v>229</v>
      </c>
      <c r="B6" s="14"/>
      <c r="C6" s="14"/>
      <c r="D6" s="15">
        <f>INDEX([1]Raw_HS8480_AllMoulds!$B$2:$Y$78,MATCH("All Geographic Regions (World Total)",[1]Raw_HS8480_AllMoulds!$A$2:$A$78,0),24)</f>
        <v>2289935157</v>
      </c>
      <c r="E6" s="15"/>
      <c r="F6" s="15">
        <f>INDEX([1]Raw_HS8480_71_InjComp!$B$2:$Y$193,MATCH("All Geographic Regions (World Total)",[1]Raw_HS8480_71_InjComp!$A$2:$A$193,0),24)</f>
        <v>1616829002</v>
      </c>
      <c r="G6" s="15"/>
    </row>
    <row r="7" spans="1:8" x14ac:dyDescent="0.45">
      <c r="A7" s="16" t="s">
        <v>230</v>
      </c>
      <c r="B7" s="16"/>
      <c r="C7" s="16"/>
      <c r="D7" s="17">
        <f>INDEX([1]Raw_HS8480_AllMoulds!$B$2:$Y$78,MATCH("All Geographic Regions (World Total)",[1]Raw_HS8480_AllMoulds!$A$2:$A$78,0),17)</f>
        <v>2722263507</v>
      </c>
      <c r="E7" s="17"/>
      <c r="F7" s="17">
        <f>INDEX([1]Raw_HS8480_71_InjComp!$B$2:$Y$193,MATCH("All Geographic Regions (World Total)",[1]Raw_HS8480_71_InjComp!$A$2:$A$193,0),17)</f>
        <v>2048218137</v>
      </c>
      <c r="G7" s="17"/>
    </row>
    <row r="8" spans="1:8" x14ac:dyDescent="0.45">
      <c r="A8" s="14" t="s">
        <v>231</v>
      </c>
      <c r="B8" s="14"/>
      <c r="C8" s="14"/>
      <c r="D8" s="18">
        <f>(INDEX([1]Raw_HS8480_AllMoulds!$B$2:$Y$78,MATCH("All Geographic Regions (World Total)",[1]Raw_HS8480_AllMoulds!$A$2:$A$78,0),24)/INDEX([1]Raw_HS8480_AllMoulds!$B$2:$Y$78,MATCH("All Geographic Regions (World Total)",[1]Raw_HS8480_AllMoulds!$A$2:$A$78,0),1))^(1/23)-1</f>
        <v>2.348018958207243E-2</v>
      </c>
      <c r="E8" s="18"/>
      <c r="F8" s="18">
        <f>(INDEX([1]Raw_HS8480_71_InjComp!$B$2:$Y$193,MATCH("All Geographic Regions (World Total)",[1]Raw_HS8480_71_InjComp!$A$2:$A$193,0),24)/INDEX([1]Raw_HS8480_71_InjComp!$B$2:$Y$193,MATCH("All Geographic Regions (World Total)",[1]Raw_HS8480_71_InjComp!$A$2:$A$193,0),1))^(1/23)-1</f>
        <v>2.1370272816387148E-2</v>
      </c>
      <c r="G8" s="18"/>
    </row>
    <row r="9" spans="1:8" x14ac:dyDescent="0.45">
      <c r="A9" s="16" t="s">
        <v>232</v>
      </c>
      <c r="B9" s="16"/>
      <c r="C9" s="16"/>
      <c r="D9" s="19">
        <f>(INDEX([1]Raw_HS8480_AllMoulds!$B$2:$Y$78,MATCH("All Geographic Regions (World Total)",[1]Raw_HS8480_AllMoulds!$A$2:$A$78,0),24)/INDEX([1]Raw_HS8480_AllMoulds!$B$2:$Y$78,MATCH("All Geographic Regions (World Total)",[1]Raw_HS8480_AllMoulds!$A$2:$A$78,0),17))^(1/7)-1</f>
        <v>-2.4403054460682805E-2</v>
      </c>
      <c r="E9" s="19"/>
      <c r="F9" s="19">
        <f>(INDEX([1]Raw_HS8480_71_InjComp!$B$2:$Y$193,MATCH("All Geographic Regions (World Total)",[1]Raw_HS8480_71_InjComp!$A$2:$A$193,0),24)/INDEX([1]Raw_HS8480_71_InjComp!$B$2:$Y$193,MATCH("All Geographic Regions (World Total)",[1]Raw_HS8480_71_InjComp!$A$2:$A$193,0),17))^(1/7)-1</f>
        <v>-3.3221818743996212E-2</v>
      </c>
      <c r="G9" s="19"/>
    </row>
    <row r="10" spans="1:8" x14ac:dyDescent="0.45">
      <c r="A10" s="14" t="s">
        <v>233</v>
      </c>
      <c r="B10" s="14"/>
      <c r="C10" s="14"/>
      <c r="D10" s="15">
        <f>INDEX([1]Raw_HS8480_AllMoulds!$B$2:$Y$78,MATCH("Canada",[1]Raw_HS8480_AllMoulds!$A$2:$A$78,0),24)</f>
        <v>847925312</v>
      </c>
      <c r="E10" s="15"/>
      <c r="F10" s="15">
        <f>INDEX([1]Raw_HS8480_71_InjComp!$B$2:$Y$193,MATCH("Canada",[1]Raw_HS8480_71_InjComp!$A$2:$A$193,0),24)</f>
        <v>713580547</v>
      </c>
      <c r="G10" s="15"/>
    </row>
    <row r="11" spans="1:8" x14ac:dyDescent="0.45">
      <c r="A11" s="16" t="s">
        <v>234</v>
      </c>
      <c r="B11" s="16"/>
      <c r="C11" s="16"/>
      <c r="D11" s="19">
        <f>INDEX([1]Raw_HS8480_AllMoulds!$B$2:$Y$78,MATCH("Canada",[1]Raw_HS8480_AllMoulds!$A$2:$A$78,0),24)/INDEX([1]Raw_HS8480_AllMoulds!$B$2:$Y$78,MATCH("All Geographic Regions (World Total)",[1]Raw_HS8480_AllMoulds!$A$2:$A$78,0),24)</f>
        <v>0.37028354685416098</v>
      </c>
      <c r="E11" s="19"/>
      <c r="F11" s="19">
        <f>INDEX([1]Raw_HS8480_71_InjComp!$B$2:$Y$193,MATCH("Canada",[1]Raw_HS8480_71_InjComp!$A$2:$A$193,0),24)/INDEX([1]Raw_HS8480_71_InjComp!$B$2:$Y$193,MATCH("All Geographic Regions (World Total)",[1]Raw_HS8480_71_InjComp!$A$2:$A$193,0),24)</f>
        <v>0.44134571195674283</v>
      </c>
      <c r="G11" s="19"/>
    </row>
    <row r="12" spans="1:8" x14ac:dyDescent="0.45">
      <c r="A12" s="14" t="s">
        <v>235</v>
      </c>
      <c r="B12" s="14"/>
      <c r="C12" s="14"/>
      <c r="D12" s="15">
        <f>INDEX([1]Raw_HS8480_AllMoulds!$B$2:$Y$78,MATCH("China",[1]Raw_HS8480_AllMoulds!$A$2:$A$78,0),24)</f>
        <v>352766466</v>
      </c>
      <c r="E12" s="15"/>
      <c r="F12" s="15">
        <f>INDEX([1]Raw_HS8480_71_InjComp!$B$2:$Y$193,MATCH("China",[1]Raw_HS8480_71_InjComp!$A$2:$A$193,0),24)</f>
        <v>257066223</v>
      </c>
      <c r="G12" s="15"/>
    </row>
    <row r="13" spans="1:8" x14ac:dyDescent="0.45">
      <c r="A13" s="16" t="s">
        <v>236</v>
      </c>
      <c r="B13" s="16"/>
      <c r="C13" s="16"/>
      <c r="D13" s="19">
        <f>INDEX([1]Raw_HS8480_AllMoulds!$B$2:$Y$78,MATCH("China",[1]Raw_HS8480_AllMoulds!$A$2:$A$78,0),17)/INDEX([1]Raw_HS8480_AllMoulds!$B$2:$Y$78,MATCH("All Geographic Regions (World Total)",[1]Raw_HS8480_AllMoulds!$A$2:$A$78,0),17)</f>
        <v>0.22007355513508708</v>
      </c>
      <c r="E13" s="19"/>
      <c r="F13" s="19">
        <f>INDEX([1]Raw_HS8480_71_InjComp!$B$2:$Y$193,MATCH("China",[1]Raw_HS8480_71_InjComp!$A$2:$A$193,0),17)/INDEX([1]Raw_HS8480_71_InjComp!$B$2:$Y$193,MATCH("All Geographic Regions (World Total)",[1]Raw_HS8480_71_InjComp!$A$2:$A$193,0),17)</f>
        <v>0.21298924568599306</v>
      </c>
      <c r="G13" s="19"/>
    </row>
    <row r="14" spans="1:8" x14ac:dyDescent="0.45">
      <c r="A14" s="14" t="s">
        <v>237</v>
      </c>
      <c r="B14" s="14"/>
      <c r="C14" s="14"/>
      <c r="D14" s="18">
        <f>INDEX([1]Raw_HS8480_AllMoulds!$B$2:$Y$78,MATCH("China",[1]Raw_HS8480_AllMoulds!$A$2:$A$78,0),24)/INDEX([1]Raw_HS8480_AllMoulds!$B$2:$Y$78,MATCH("All Geographic Regions (World Total)",[1]Raw_HS8480_AllMoulds!$A$2:$A$78,0),24)</f>
        <v>0.15405085376397842</v>
      </c>
      <c r="E14" s="18"/>
      <c r="F14" s="18">
        <f>INDEX([1]Raw_HS8480_71_InjComp!$B$2:$Y$193,MATCH("China",[1]Raw_HS8480_71_InjComp!$A$2:$A$193,0),24)/INDEX([1]Raw_HS8480_71_InjComp!$B$2:$Y$193,MATCH("All Geographic Regions (World Total)",[1]Raw_HS8480_71_InjComp!$A$2:$A$193,0),24)</f>
        <v>0.15899406967713461</v>
      </c>
      <c r="G14" s="18"/>
    </row>
    <row r="15" spans="1:8" x14ac:dyDescent="0.45">
      <c r="A15" s="16" t="s">
        <v>238</v>
      </c>
      <c r="B15" s="16"/>
      <c r="C15" s="16"/>
      <c r="D15" s="19">
        <f>INDEX([1]Raw_HS8480_AllMoulds!$B$2:$Y$78,MATCH("China",[1]Raw_HS8480_AllMoulds!$A$2:$A$78,0),24)/(INDEX([1]Raw_HS8480_AllMoulds!$B$2:$Y$78,MATCH("All Geographic Regions (World Total)",[1]Raw_HS8480_AllMoulds!$A$2:$A$78,0),24)-INDEX([1]Raw_HS8480_AllMoulds!$B$2:$Y$78,MATCH("North America",[1]Raw_HS8480_AllMoulds!$A$2:$A$78,0),24))</f>
        <v>0.25612162685565426</v>
      </c>
      <c r="E15" s="19"/>
      <c r="F15" s="19">
        <f>INDEX([1]Raw_HS8480_71_InjComp!$B$2:$Y$193,MATCH("China",[1]Raw_HS8480_71_InjComp!$A$2:$A$193,0),24)/(INDEX([1]Raw_HS8480_71_InjComp!$B$2:$Y$193,MATCH("All Geographic Regions (World Total)",[1]Raw_HS8480_71_InjComp!$A$2:$A$193,0),24)-INDEX([1]Raw_HS8480_71_InjComp!$B$2:$Y$193,MATCH("North America",[1]Raw_HS8480_71_InjComp!$A$2:$A$193,0),24))</f>
        <v>0.29536023953560675</v>
      </c>
      <c r="G15" s="19"/>
    </row>
    <row r="17" spans="1:8" x14ac:dyDescent="0.45">
      <c r="A17" s="12" t="s">
        <v>239</v>
      </c>
      <c r="B17" s="12"/>
      <c r="C17" s="12"/>
      <c r="D17" s="12"/>
      <c r="E17" s="12"/>
      <c r="F17" s="12"/>
      <c r="G17" s="12"/>
      <c r="H17" s="12"/>
    </row>
    <row r="18" spans="1:8" ht="30" customHeight="1" x14ac:dyDescent="0.45">
      <c r="A18" s="20" t="s">
        <v>240</v>
      </c>
      <c r="B18" s="20"/>
      <c r="C18" s="20"/>
      <c r="D18" s="20"/>
      <c r="E18" s="20"/>
      <c r="F18" s="20"/>
      <c r="G18" s="20"/>
      <c r="H18" s="20"/>
    </row>
    <row r="19" spans="1:8" ht="30" customHeight="1" x14ac:dyDescent="0.45">
      <c r="A19" s="20" t="s">
        <v>241</v>
      </c>
      <c r="B19" s="20"/>
      <c r="C19" s="20"/>
      <c r="D19" s="20"/>
      <c r="E19" s="20"/>
      <c r="F19" s="20"/>
      <c r="G19" s="20"/>
      <c r="H19" s="20"/>
    </row>
    <row r="20" spans="1:8" ht="30" customHeight="1" x14ac:dyDescent="0.45">
      <c r="A20" s="20" t="s">
        <v>242</v>
      </c>
      <c r="B20" s="20"/>
      <c r="C20" s="20"/>
      <c r="D20" s="20"/>
      <c r="E20" s="20"/>
      <c r="F20" s="20"/>
      <c r="G20" s="20"/>
      <c r="H20" s="20"/>
    </row>
    <row r="21" spans="1:8" ht="30" customHeight="1" x14ac:dyDescent="0.45">
      <c r="A21" s="20" t="s">
        <v>243</v>
      </c>
      <c r="B21" s="20"/>
      <c r="C21" s="20"/>
      <c r="D21" s="20"/>
      <c r="E21" s="20"/>
      <c r="F21" s="20"/>
      <c r="G21" s="20"/>
      <c r="H21" s="20"/>
    </row>
    <row r="22" spans="1:8" ht="30" customHeight="1" x14ac:dyDescent="0.45">
      <c r="A22" s="20" t="s">
        <v>244</v>
      </c>
      <c r="B22" s="20"/>
      <c r="C22" s="20"/>
      <c r="D22" s="20"/>
      <c r="E22" s="20"/>
      <c r="F22" s="20"/>
      <c r="G22" s="20"/>
      <c r="H22" s="20"/>
    </row>
    <row r="23" spans="1:8" ht="30" customHeight="1" x14ac:dyDescent="0.45">
      <c r="A23" s="20" t="s">
        <v>245</v>
      </c>
      <c r="B23" s="20"/>
      <c r="C23" s="20"/>
      <c r="D23" s="20"/>
      <c r="E23" s="20"/>
      <c r="F23" s="20"/>
      <c r="G23" s="20"/>
      <c r="H23" s="20"/>
    </row>
    <row r="24" spans="1:8" ht="30" customHeight="1" x14ac:dyDescent="0.45">
      <c r="A24" s="20" t="s">
        <v>246</v>
      </c>
      <c r="B24" s="20"/>
      <c r="C24" s="20"/>
      <c r="D24" s="20"/>
      <c r="E24" s="20"/>
      <c r="F24" s="20"/>
      <c r="G24" s="20"/>
      <c r="H24" s="20"/>
    </row>
  </sheetData>
  <mergeCells count="44">
    <mergeCell ref="A23:H23"/>
    <mergeCell ref="A24:H24"/>
    <mergeCell ref="A17:H17"/>
    <mergeCell ref="A18:H18"/>
    <mergeCell ref="A19:H19"/>
    <mergeCell ref="A20:H20"/>
    <mergeCell ref="A21:H21"/>
    <mergeCell ref="A22:H22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A8:C8"/>
    <mergeCell ref="D8:E8"/>
    <mergeCell ref="F8:G8"/>
    <mergeCell ref="A9:C9"/>
    <mergeCell ref="D9:E9"/>
    <mergeCell ref="F9:G9"/>
    <mergeCell ref="A6:C6"/>
    <mergeCell ref="D6:E6"/>
    <mergeCell ref="F6:G6"/>
    <mergeCell ref="A7:C7"/>
    <mergeCell ref="D7:E7"/>
    <mergeCell ref="F7:G7"/>
    <mergeCell ref="A1:H1"/>
    <mergeCell ref="A2:H2"/>
    <mergeCell ref="A4:H4"/>
    <mergeCell ref="A5:C5"/>
    <mergeCell ref="D5:E5"/>
    <mergeCell ref="F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AE53-C2FC-4AE3-A918-5F0B465627B5}">
  <dimension ref="A1"/>
  <sheetViews>
    <sheetView zoomScale="55" zoomScaleNormal="55" workbookViewId="0">
      <selection activeCell="W83" sqref="W83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FA45-61F4-40E7-B55D-3CFE5CACB896}">
  <dimension ref="A1:Y20"/>
  <sheetViews>
    <sheetView showGridLines="0" tabSelected="1" topLeftCell="Q1" zoomScaleNormal="100" workbookViewId="0">
      <selection activeCell="J18" sqref="J18"/>
    </sheetView>
  </sheetViews>
  <sheetFormatPr defaultColWidth="8.6640625" defaultRowHeight="14.25" x14ac:dyDescent="0.45"/>
  <cols>
    <col min="1" max="1" width="27.59765625" style="10" bestFit="1" customWidth="1"/>
    <col min="2" max="25" width="13.3984375" style="10" bestFit="1" customWidth="1"/>
    <col min="26" max="16384" width="8.6640625" style="10"/>
  </cols>
  <sheetData>
    <row r="1" spans="1:25" ht="17.649999999999999" x14ac:dyDescent="0.5">
      <c r="A1" s="21" t="s">
        <v>253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5" x14ac:dyDescent="0.45">
      <c r="A2" s="11" t="s">
        <v>254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25" x14ac:dyDescent="0.45">
      <c r="A4" s="30" t="s">
        <v>255</v>
      </c>
      <c r="B4" s="31">
        <v>2002</v>
      </c>
      <c r="C4" s="31">
        <v>2003</v>
      </c>
      <c r="D4" s="31">
        <v>2004</v>
      </c>
      <c r="E4" s="31">
        <v>2005</v>
      </c>
      <c r="F4" s="31">
        <v>2006</v>
      </c>
      <c r="G4" s="31">
        <v>2007</v>
      </c>
      <c r="H4" s="31">
        <v>2008</v>
      </c>
      <c r="I4" s="31">
        <v>2009</v>
      </c>
      <c r="J4" s="31">
        <v>2010</v>
      </c>
      <c r="K4" s="31">
        <v>2011</v>
      </c>
      <c r="L4" s="31">
        <v>2012</v>
      </c>
      <c r="M4" s="31">
        <v>2013</v>
      </c>
      <c r="N4" s="31">
        <v>2014</v>
      </c>
      <c r="O4" s="31">
        <v>2015</v>
      </c>
      <c r="P4" s="31">
        <v>2016</v>
      </c>
      <c r="Q4" s="31">
        <v>2017</v>
      </c>
      <c r="R4" s="31">
        <v>2018</v>
      </c>
      <c r="S4" s="31">
        <v>2019</v>
      </c>
      <c r="T4" s="31">
        <v>2020</v>
      </c>
      <c r="U4" s="31">
        <v>2021</v>
      </c>
      <c r="V4" s="31">
        <v>2022</v>
      </c>
      <c r="W4" s="31">
        <v>2023</v>
      </c>
      <c r="X4" s="31">
        <v>2024</v>
      </c>
      <c r="Y4" s="31">
        <v>2025</v>
      </c>
    </row>
    <row r="5" spans="1:25" x14ac:dyDescent="0.45">
      <c r="A5" s="32" t="s">
        <v>256</v>
      </c>
      <c r="B5" s="33">
        <f>INDEX([1]Raw_HS8480_AllMoulds!$B$2:$Y$78,MATCH("All Geographic Regions (World Total)",[1]Raw_HS8480_AllMoulds!$A$2:$A$78,0),1)</f>
        <v>1342752730</v>
      </c>
      <c r="C5" s="33">
        <f>INDEX([1]Raw_HS8480_AllMoulds!$B$2:$Y$78,MATCH("All Geographic Regions (World Total)",[1]Raw_HS8480_AllMoulds!$A$2:$A$78,0),2)</f>
        <v>1390129131</v>
      </c>
      <c r="D5" s="33">
        <f>INDEX([1]Raw_HS8480_AllMoulds!$B$2:$Y$78,MATCH("All Geographic Regions (World Total)",[1]Raw_HS8480_AllMoulds!$A$2:$A$78,0),3)</f>
        <v>1511057052</v>
      </c>
      <c r="E5" s="33">
        <f>INDEX([1]Raw_HS8480_AllMoulds!$B$2:$Y$78,MATCH("All Geographic Regions (World Total)",[1]Raw_HS8480_AllMoulds!$A$2:$A$78,0),4)</f>
        <v>1602277546</v>
      </c>
      <c r="F5" s="33">
        <f>INDEX([1]Raw_HS8480_AllMoulds!$B$2:$Y$78,MATCH("All Geographic Regions (World Total)",[1]Raw_HS8480_AllMoulds!$A$2:$A$78,0),5)</f>
        <v>1800789460</v>
      </c>
      <c r="G5" s="33">
        <f>INDEX([1]Raw_HS8480_AllMoulds!$B$2:$Y$78,MATCH("All Geographic Regions (World Total)",[1]Raw_HS8480_AllMoulds!$A$2:$A$78,0),6)</f>
        <v>1553925120</v>
      </c>
      <c r="H5" s="33">
        <f>INDEX([1]Raw_HS8480_AllMoulds!$B$2:$Y$78,MATCH("All Geographic Regions (World Total)",[1]Raw_HS8480_AllMoulds!$A$2:$A$78,0),7)</f>
        <v>1492106361</v>
      </c>
      <c r="I5" s="33">
        <f>INDEX([1]Raw_HS8480_AllMoulds!$B$2:$Y$78,MATCH("All Geographic Regions (World Total)",[1]Raw_HS8480_AllMoulds!$A$2:$A$78,0),8)</f>
        <v>1116778877</v>
      </c>
      <c r="J5" s="33">
        <f>INDEX([1]Raw_HS8480_AllMoulds!$B$2:$Y$78,MATCH("All Geographic Regions (World Total)",[1]Raw_HS8480_AllMoulds!$A$2:$A$78,0),9)</f>
        <v>1218902769</v>
      </c>
      <c r="K5" s="33">
        <f>INDEX([1]Raw_HS8480_AllMoulds!$B$2:$Y$78,MATCH("All Geographic Regions (World Total)",[1]Raw_HS8480_AllMoulds!$A$2:$A$78,0),10)</f>
        <v>1408758926</v>
      </c>
      <c r="L5" s="33">
        <f>INDEX([1]Raw_HS8480_AllMoulds!$B$2:$Y$78,MATCH("All Geographic Regions (World Total)",[1]Raw_HS8480_AllMoulds!$A$2:$A$78,0),11)</f>
        <v>1738518388</v>
      </c>
      <c r="M5" s="33">
        <f>INDEX([1]Raw_HS8480_AllMoulds!$B$2:$Y$78,MATCH("All Geographic Regions (World Total)",[1]Raw_HS8480_AllMoulds!$A$2:$A$78,0),12)</f>
        <v>1942617262</v>
      </c>
      <c r="N5" s="33">
        <f>INDEX([1]Raw_HS8480_AllMoulds!$B$2:$Y$78,MATCH("All Geographic Regions (World Total)",[1]Raw_HS8480_AllMoulds!$A$2:$A$78,0),13)</f>
        <v>2002858898</v>
      </c>
      <c r="O5" s="33">
        <f>INDEX([1]Raw_HS8480_AllMoulds!$B$2:$Y$78,MATCH("All Geographic Regions (World Total)",[1]Raw_HS8480_AllMoulds!$A$2:$A$78,0),14)</f>
        <v>2163212545</v>
      </c>
      <c r="P5" s="33">
        <f>INDEX([1]Raw_HS8480_AllMoulds!$B$2:$Y$78,MATCH("All Geographic Regions (World Total)",[1]Raw_HS8480_AllMoulds!$A$2:$A$78,0),15)</f>
        <v>2220803558</v>
      </c>
      <c r="Q5" s="33">
        <f>INDEX([1]Raw_HS8480_AllMoulds!$B$2:$Y$78,MATCH("All Geographic Regions (World Total)",[1]Raw_HS8480_AllMoulds!$A$2:$A$78,0),16)</f>
        <v>2598466394</v>
      </c>
      <c r="R5" s="33">
        <f>INDEX([1]Raw_HS8480_AllMoulds!$B$2:$Y$78,MATCH("All Geographic Regions (World Total)",[1]Raw_HS8480_AllMoulds!$A$2:$A$78,0),17)</f>
        <v>2722263507</v>
      </c>
      <c r="S5" s="33">
        <f>INDEX([1]Raw_HS8480_AllMoulds!$B$2:$Y$78,MATCH("All Geographic Regions (World Total)",[1]Raw_HS8480_AllMoulds!$A$2:$A$78,0),18)</f>
        <v>2467012262</v>
      </c>
      <c r="T5" s="33">
        <f>INDEX([1]Raw_HS8480_AllMoulds!$B$2:$Y$78,MATCH("All Geographic Regions (World Total)",[1]Raw_HS8480_AllMoulds!$A$2:$A$78,0),19)</f>
        <v>2170496670</v>
      </c>
      <c r="U5" s="33">
        <f>INDEX([1]Raw_HS8480_AllMoulds!$B$2:$Y$78,MATCH("All Geographic Regions (World Total)",[1]Raw_HS8480_AllMoulds!$A$2:$A$78,0),20)</f>
        <v>2480412964</v>
      </c>
      <c r="V5" s="33">
        <f>INDEX([1]Raw_HS8480_AllMoulds!$B$2:$Y$78,MATCH("All Geographic Regions (World Total)",[1]Raw_HS8480_AllMoulds!$A$2:$A$78,0),21)</f>
        <v>2622759222</v>
      </c>
      <c r="W5" s="33">
        <f>INDEX([1]Raw_HS8480_AllMoulds!$B$2:$Y$78,MATCH("All Geographic Regions (World Total)",[1]Raw_HS8480_AllMoulds!$A$2:$A$78,0),22)</f>
        <v>2553194579</v>
      </c>
      <c r="X5" s="33">
        <f>INDEX([1]Raw_HS8480_AllMoulds!$B$2:$Y$78,MATCH("All Geographic Regions (World Total)",[1]Raw_HS8480_AllMoulds!$A$2:$A$78,0),23)</f>
        <v>2309103677</v>
      </c>
      <c r="Y5" s="33">
        <f>INDEX([1]Raw_HS8480_AllMoulds!$B$2:$Y$78,MATCH("All Geographic Regions (World Total)",[1]Raw_HS8480_AllMoulds!$A$2:$A$78,0),24)</f>
        <v>2289935157</v>
      </c>
    </row>
    <row r="6" spans="1:25" x14ac:dyDescent="0.45">
      <c r="A6" s="32" t="s">
        <v>4</v>
      </c>
      <c r="B6" s="33">
        <f>INDEX([1]Raw_HS8480_AllMoulds!$B$2:$Y$78,MATCH("China",[1]Raw_HS8480_AllMoulds!$A$2:$A$78,0),1)</f>
        <v>29879600</v>
      </c>
      <c r="C6" s="33">
        <f>INDEX([1]Raw_HS8480_AllMoulds!$B$2:$Y$78,MATCH("China",[1]Raw_HS8480_AllMoulds!$A$2:$A$78,0),2)</f>
        <v>40259173</v>
      </c>
      <c r="D6" s="33">
        <f>INDEX([1]Raw_HS8480_AllMoulds!$B$2:$Y$78,MATCH("China",[1]Raw_HS8480_AllMoulds!$A$2:$A$78,0),3)</f>
        <v>54417397</v>
      </c>
      <c r="E6" s="33">
        <f>INDEX([1]Raw_HS8480_AllMoulds!$B$2:$Y$78,MATCH("China",[1]Raw_HS8480_AllMoulds!$A$2:$A$78,0),4)</f>
        <v>79490233</v>
      </c>
      <c r="F6" s="33">
        <f>INDEX([1]Raw_HS8480_AllMoulds!$B$2:$Y$78,MATCH("China",[1]Raw_HS8480_AllMoulds!$A$2:$A$78,0),5)</f>
        <v>114999265</v>
      </c>
      <c r="G6" s="33">
        <f>INDEX([1]Raw_HS8480_AllMoulds!$B$2:$Y$78,MATCH("China",[1]Raw_HS8480_AllMoulds!$A$2:$A$78,0),6)</f>
        <v>154405673</v>
      </c>
      <c r="H6" s="33">
        <f>INDEX([1]Raw_HS8480_AllMoulds!$B$2:$Y$78,MATCH("China",[1]Raw_HS8480_AllMoulds!$A$2:$A$78,0),7)</f>
        <v>173185128</v>
      </c>
      <c r="I6" s="33">
        <f>INDEX([1]Raw_HS8480_AllMoulds!$B$2:$Y$78,MATCH("China",[1]Raw_HS8480_AllMoulds!$A$2:$A$78,0),8)</f>
        <v>145896185</v>
      </c>
      <c r="J6" s="33">
        <f>INDEX([1]Raw_HS8480_AllMoulds!$B$2:$Y$78,MATCH("China",[1]Raw_HS8480_AllMoulds!$A$2:$A$78,0),9)</f>
        <v>199886739</v>
      </c>
      <c r="K6" s="33">
        <f>INDEX([1]Raw_HS8480_AllMoulds!$B$2:$Y$78,MATCH("China",[1]Raw_HS8480_AllMoulds!$A$2:$A$78,0),10)</f>
        <v>253666552</v>
      </c>
      <c r="L6" s="33">
        <f>INDEX([1]Raw_HS8480_AllMoulds!$B$2:$Y$78,MATCH("China",[1]Raw_HS8480_AllMoulds!$A$2:$A$78,0),11)</f>
        <v>348863166</v>
      </c>
      <c r="M6" s="33">
        <f>INDEX([1]Raw_HS8480_AllMoulds!$B$2:$Y$78,MATCH("China",[1]Raw_HS8480_AllMoulds!$A$2:$A$78,0),12)</f>
        <v>374098446</v>
      </c>
      <c r="N6" s="33">
        <f>INDEX([1]Raw_HS8480_AllMoulds!$B$2:$Y$78,MATCH("China",[1]Raw_HS8480_AllMoulds!$A$2:$A$78,0),13)</f>
        <v>390700572</v>
      </c>
      <c r="O6" s="33">
        <f>INDEX([1]Raw_HS8480_AllMoulds!$B$2:$Y$78,MATCH("China",[1]Raw_HS8480_AllMoulds!$A$2:$A$78,0),14)</f>
        <v>470840955</v>
      </c>
      <c r="P6" s="33">
        <f>INDEX([1]Raw_HS8480_AllMoulds!$B$2:$Y$78,MATCH("China",[1]Raw_HS8480_AllMoulds!$A$2:$A$78,0),15)</f>
        <v>459629525</v>
      </c>
      <c r="Q6" s="33">
        <f>INDEX([1]Raw_HS8480_AllMoulds!$B$2:$Y$78,MATCH("China",[1]Raw_HS8480_AllMoulds!$A$2:$A$78,0),16)</f>
        <v>569272229</v>
      </c>
      <c r="R6" s="33">
        <f>INDEX([1]Raw_HS8480_AllMoulds!$B$2:$Y$78,MATCH("China",[1]Raw_HS8480_AllMoulds!$A$2:$A$78,0),17)</f>
        <v>599098208</v>
      </c>
      <c r="S6" s="33">
        <f>INDEX([1]Raw_HS8480_AllMoulds!$B$2:$Y$78,MATCH("China",[1]Raw_HS8480_AllMoulds!$A$2:$A$78,0),18)</f>
        <v>529885739</v>
      </c>
      <c r="T6" s="33">
        <f>INDEX([1]Raw_HS8480_AllMoulds!$B$2:$Y$78,MATCH("China",[1]Raw_HS8480_AllMoulds!$A$2:$A$78,0),19)</f>
        <v>402696976</v>
      </c>
      <c r="U6" s="33">
        <f>INDEX([1]Raw_HS8480_AllMoulds!$B$2:$Y$78,MATCH("China",[1]Raw_HS8480_AllMoulds!$A$2:$A$78,0),20)</f>
        <v>451202096</v>
      </c>
      <c r="V6" s="33">
        <f>INDEX([1]Raw_HS8480_AllMoulds!$B$2:$Y$78,MATCH("China",[1]Raw_HS8480_AllMoulds!$A$2:$A$78,0),21)</f>
        <v>440387246</v>
      </c>
      <c r="W6" s="33">
        <f>INDEX([1]Raw_HS8480_AllMoulds!$B$2:$Y$78,MATCH("China",[1]Raw_HS8480_AllMoulds!$A$2:$A$78,0),22)</f>
        <v>411787643</v>
      </c>
      <c r="X6" s="33">
        <f>INDEX([1]Raw_HS8480_AllMoulds!$B$2:$Y$78,MATCH("China",[1]Raw_HS8480_AllMoulds!$A$2:$A$78,0),23)</f>
        <v>363112963</v>
      </c>
      <c r="Y6" s="33">
        <f>INDEX([1]Raw_HS8480_AllMoulds!$B$2:$Y$78,MATCH("China",[1]Raw_HS8480_AllMoulds!$A$2:$A$78,0),24)</f>
        <v>352766466</v>
      </c>
    </row>
    <row r="7" spans="1:25" x14ac:dyDescent="0.45">
      <c r="A7" s="32" t="s">
        <v>257</v>
      </c>
      <c r="B7" s="34">
        <f t="shared" ref="B7:Y7" si="0">B6/B5</f>
        <v>2.2252496183716566E-2</v>
      </c>
      <c r="C7" s="34">
        <f t="shared" si="0"/>
        <v>2.8960743359891506E-2</v>
      </c>
      <c r="D7" s="34">
        <f t="shared" si="0"/>
        <v>3.6012801057362064E-2</v>
      </c>
      <c r="E7" s="34">
        <f t="shared" si="0"/>
        <v>4.961077635921636E-2</v>
      </c>
      <c r="F7" s="34">
        <f t="shared" si="0"/>
        <v>6.3860472062069934E-2</v>
      </c>
      <c r="G7" s="34">
        <f t="shared" si="0"/>
        <v>9.9364937867791214E-2</v>
      </c>
      <c r="H7" s="34">
        <f t="shared" si="0"/>
        <v>0.11606754888701933</v>
      </c>
      <c r="I7" s="34">
        <f t="shared" si="0"/>
        <v>0.13064017237854689</v>
      </c>
      <c r="J7" s="34">
        <f t="shared" si="0"/>
        <v>0.16398907614590874</v>
      </c>
      <c r="K7" s="34">
        <f t="shared" si="0"/>
        <v>0.18006384720503982</v>
      </c>
      <c r="L7" s="34">
        <f t="shared" si="0"/>
        <v>0.20066694054431825</v>
      </c>
      <c r="M7" s="34">
        <f t="shared" si="0"/>
        <v>0.19257444753417413</v>
      </c>
      <c r="N7" s="34">
        <f t="shared" si="0"/>
        <v>0.19507144132327189</v>
      </c>
      <c r="O7" s="34">
        <f t="shared" si="0"/>
        <v>0.21765820288361909</v>
      </c>
      <c r="P7" s="34">
        <f t="shared" si="0"/>
        <v>0.20696541274183244</v>
      </c>
      <c r="Q7" s="34">
        <f t="shared" si="0"/>
        <v>0.21908008135663423</v>
      </c>
      <c r="R7" s="34">
        <f t="shared" si="0"/>
        <v>0.22007355513508708</v>
      </c>
      <c r="S7" s="34">
        <f t="shared" si="0"/>
        <v>0.21478844964087171</v>
      </c>
      <c r="T7" s="34">
        <f t="shared" si="0"/>
        <v>0.18553217867871688</v>
      </c>
      <c r="U7" s="34">
        <f t="shared" si="0"/>
        <v>0.18190603844949102</v>
      </c>
      <c r="V7" s="34">
        <f t="shared" si="0"/>
        <v>0.1679099027871038</v>
      </c>
      <c r="W7" s="34">
        <f t="shared" si="0"/>
        <v>0.16128329833806998</v>
      </c>
      <c r="X7" s="34">
        <f t="shared" si="0"/>
        <v>0.157252775878716</v>
      </c>
      <c r="Y7" s="34">
        <f t="shared" si="0"/>
        <v>0.15405085376397842</v>
      </c>
    </row>
    <row r="8" spans="1:25" x14ac:dyDescent="0.45">
      <c r="A8" s="32" t="s">
        <v>258</v>
      </c>
      <c r="B8" s="34">
        <f>B6/(B5-INDEX([1]Raw_HS8480_AllMoulds!$B$2:$Y$78,MATCH("North America",[1]Raw_HS8480_AllMoulds!$A$2:$A$78,0),1))</f>
        <v>4.7030248872770734E-2</v>
      </c>
      <c r="C8" s="34">
        <f>C6/(C5-INDEX([1]Raw_HS8480_AllMoulds!$B$2:$Y$78,MATCH("North America",[1]Raw_HS8480_AllMoulds!$A$2:$A$78,0),2))</f>
        <v>5.996537492975447E-2</v>
      </c>
      <c r="D8" s="34">
        <f>D6/(D5-INDEX([1]Raw_HS8480_AllMoulds!$B$2:$Y$78,MATCH("North America",[1]Raw_HS8480_AllMoulds!$A$2:$A$78,0),3))</f>
        <v>6.9691106098143094E-2</v>
      </c>
      <c r="E8" s="34">
        <f>E6/(E5-INDEX([1]Raw_HS8480_AllMoulds!$B$2:$Y$78,MATCH("North America",[1]Raw_HS8480_AllMoulds!$A$2:$A$78,0),4))</f>
        <v>0.10319045505030787</v>
      </c>
      <c r="F8" s="34">
        <f>F6/(F5-INDEX([1]Raw_HS8480_AllMoulds!$B$2:$Y$78,MATCH("North America",[1]Raw_HS8480_AllMoulds!$A$2:$A$78,0),5))</f>
        <v>0.11792869552133599</v>
      </c>
      <c r="G8" s="34">
        <f>G6/(G5-INDEX([1]Raw_HS8480_AllMoulds!$B$2:$Y$78,MATCH("North America",[1]Raw_HS8480_AllMoulds!$A$2:$A$78,0),6))</f>
        <v>0.17153936569426259</v>
      </c>
      <c r="H8" s="34">
        <f>H6/(H5-INDEX([1]Raw_HS8480_AllMoulds!$B$2:$Y$78,MATCH("North America",[1]Raw_HS8480_AllMoulds!$A$2:$A$78,0),7))</f>
        <v>0.19968388042139043</v>
      </c>
      <c r="I8" s="34">
        <f>I6/(I5-INDEX([1]Raw_HS8480_AllMoulds!$B$2:$Y$78,MATCH("North America",[1]Raw_HS8480_AllMoulds!$A$2:$A$78,0),8))</f>
        <v>0.22362115875841693</v>
      </c>
      <c r="J8" s="34">
        <f>J6/(J5-INDEX([1]Raw_HS8480_AllMoulds!$B$2:$Y$78,MATCH("North America",[1]Raw_HS8480_AllMoulds!$A$2:$A$78,0),9))</f>
        <v>0.27731672120665035</v>
      </c>
      <c r="K8" s="34">
        <f>K6/(K5-INDEX([1]Raw_HS8480_AllMoulds!$B$2:$Y$78,MATCH("North America",[1]Raw_HS8480_AllMoulds!$A$2:$A$78,0),10))</f>
        <v>0.27847640293344644</v>
      </c>
      <c r="L8" s="34">
        <f>L6/(L5-INDEX([1]Raw_HS8480_AllMoulds!$B$2:$Y$78,MATCH("North America",[1]Raw_HS8480_AllMoulds!$A$2:$A$78,0),11))</f>
        <v>0.30907244807808731</v>
      </c>
      <c r="M8" s="34">
        <f>M6/(M5-INDEX([1]Raw_HS8480_AllMoulds!$B$2:$Y$78,MATCH("North America",[1]Raw_HS8480_AllMoulds!$A$2:$A$78,0),12))</f>
        <v>0.33338259591840103</v>
      </c>
      <c r="N8" s="34">
        <f>N6/(N5-INDEX([1]Raw_HS8480_AllMoulds!$B$2:$Y$78,MATCH("North America",[1]Raw_HS8480_AllMoulds!$A$2:$A$78,0),13))</f>
        <v>0.32434479800581456</v>
      </c>
      <c r="O8" s="34">
        <f>O6/(O5-INDEX([1]Raw_HS8480_AllMoulds!$B$2:$Y$78,MATCH("North America",[1]Raw_HS8480_AllMoulds!$A$2:$A$78,0),14))</f>
        <v>0.37540000781350907</v>
      </c>
      <c r="P8" s="34">
        <f>P6/(P5-INDEX([1]Raw_HS8480_AllMoulds!$B$2:$Y$78,MATCH("North America",[1]Raw_HS8480_AllMoulds!$A$2:$A$78,0),15))</f>
        <v>0.35322043246575241</v>
      </c>
      <c r="Q8" s="34">
        <f>Q6/(Q5-INDEX([1]Raw_HS8480_AllMoulds!$B$2:$Y$78,MATCH("North America",[1]Raw_HS8480_AllMoulds!$A$2:$A$78,0),16))</f>
        <v>0.3798146518561723</v>
      </c>
      <c r="R8" s="34">
        <f>R6/(R5-INDEX([1]Raw_HS8480_AllMoulds!$B$2:$Y$78,MATCH("North America",[1]Raw_HS8480_AllMoulds!$A$2:$A$78,0),17))</f>
        <v>0.37780755134970989</v>
      </c>
      <c r="S8" s="34">
        <f>S6/(S5-INDEX([1]Raw_HS8480_AllMoulds!$B$2:$Y$78,MATCH("North America",[1]Raw_HS8480_AllMoulds!$A$2:$A$78,0),18))</f>
        <v>0.37393935016002333</v>
      </c>
      <c r="T8" s="34">
        <f>T6/(T5-INDEX([1]Raw_HS8480_AllMoulds!$B$2:$Y$78,MATCH("North America",[1]Raw_HS8480_AllMoulds!$A$2:$A$78,0),19))</f>
        <v>0.30763455204617202</v>
      </c>
      <c r="U8" s="34">
        <f>U6/(U5-INDEX([1]Raw_HS8480_AllMoulds!$B$2:$Y$78,MATCH("North America",[1]Raw_HS8480_AllMoulds!$A$2:$A$78,0),20))</f>
        <v>0.32289819177587809</v>
      </c>
      <c r="V8" s="34">
        <f>V6/(V5-INDEX([1]Raw_HS8480_AllMoulds!$B$2:$Y$78,MATCH("North America",[1]Raw_HS8480_AllMoulds!$A$2:$A$78,0),21))</f>
        <v>0.29556348190941656</v>
      </c>
      <c r="W8" s="34">
        <f>W6/(W5-INDEX([1]Raw_HS8480_AllMoulds!$B$2:$Y$78,MATCH("North America",[1]Raw_HS8480_AllMoulds!$A$2:$A$78,0),22))</f>
        <v>0.31208454430898486</v>
      </c>
      <c r="X8" s="34">
        <f>X6/(X5-INDEX([1]Raw_HS8480_AllMoulds!$B$2:$Y$78,MATCH("North America",[1]Raw_HS8480_AllMoulds!$A$2:$A$78,0),23))</f>
        <v>0.26048926250622251</v>
      </c>
      <c r="Y8" s="34">
        <f>Y6/(Y5-INDEX([1]Raw_HS8480_AllMoulds!$B$2:$Y$78,MATCH("North America",[1]Raw_HS8480_AllMoulds!$A$2:$A$78,0),24))</f>
        <v>0.25612162685565426</v>
      </c>
    </row>
    <row r="9" spans="1:25" x14ac:dyDescent="0.45">
      <c r="A9" s="32" t="s">
        <v>259</v>
      </c>
      <c r="B9" s="33">
        <f>INDEX([1]Raw_HS8480_AllMoulds!$B$2:$Y$78,MATCH("Malaysia",[1]Raw_HS8480_AllMoulds!$A$2:$A$78,0),1)+INDEX([1]Raw_HS8480_AllMoulds!$B$2:$Y$78,MATCH("Thailand",[1]Raw_HS8480_AllMoulds!$A$2:$A$78,0),1)+INDEX([1]Raw_HS8480_AllMoulds!$B$2:$Y$78,MATCH("Vietnam",[1]Raw_HS8480_AllMoulds!$A$2:$A$78,0),1)+INDEX([1]Raw_HS8480_AllMoulds!$B$2:$Y$78,MATCH("Indonesia",[1]Raw_HS8480_AllMoulds!$A$2:$A$78,0),1)+INDEX([1]Raw_HS8480_AllMoulds!$B$2:$Y$78,MATCH("India",[1]Raw_HS8480_AllMoulds!$A$2:$A$78,0),1)</f>
        <v>5495836</v>
      </c>
      <c r="C9" s="33">
        <f>INDEX([1]Raw_HS8480_AllMoulds!$B$2:$Y$78,MATCH("Malaysia",[1]Raw_HS8480_AllMoulds!$A$2:$A$78,0),2)+INDEX([1]Raw_HS8480_AllMoulds!$B$2:$Y$78,MATCH("Thailand",[1]Raw_HS8480_AllMoulds!$A$2:$A$78,0),2)+INDEX([1]Raw_HS8480_AllMoulds!$B$2:$Y$78,MATCH("Vietnam",[1]Raw_HS8480_AllMoulds!$A$2:$A$78,0),2)+INDEX([1]Raw_HS8480_AllMoulds!$B$2:$Y$78,MATCH("Indonesia",[1]Raw_HS8480_AllMoulds!$A$2:$A$78,0),2)+INDEX([1]Raw_HS8480_AllMoulds!$B$2:$Y$78,MATCH("India",[1]Raw_HS8480_AllMoulds!$A$2:$A$78,0),2)</f>
        <v>7448477</v>
      </c>
      <c r="D9" s="33">
        <f>INDEX([1]Raw_HS8480_AllMoulds!$B$2:$Y$78,MATCH("Malaysia",[1]Raw_HS8480_AllMoulds!$A$2:$A$78,0),3)+INDEX([1]Raw_HS8480_AllMoulds!$B$2:$Y$78,MATCH("Thailand",[1]Raw_HS8480_AllMoulds!$A$2:$A$78,0),3)+INDEX([1]Raw_HS8480_AllMoulds!$B$2:$Y$78,MATCH("Vietnam",[1]Raw_HS8480_AllMoulds!$A$2:$A$78,0),3)+INDEX([1]Raw_HS8480_AllMoulds!$B$2:$Y$78,MATCH("Indonesia",[1]Raw_HS8480_AllMoulds!$A$2:$A$78,0),3)+INDEX([1]Raw_HS8480_AllMoulds!$B$2:$Y$78,MATCH("India",[1]Raw_HS8480_AllMoulds!$A$2:$A$78,0),3)</f>
        <v>7684418</v>
      </c>
      <c r="E9" s="33">
        <f>INDEX([1]Raw_HS8480_AllMoulds!$B$2:$Y$78,MATCH("Malaysia",[1]Raw_HS8480_AllMoulds!$A$2:$A$78,0),4)+INDEX([1]Raw_HS8480_AllMoulds!$B$2:$Y$78,MATCH("Thailand",[1]Raw_HS8480_AllMoulds!$A$2:$A$78,0),4)+INDEX([1]Raw_HS8480_AllMoulds!$B$2:$Y$78,MATCH("Vietnam",[1]Raw_HS8480_AllMoulds!$A$2:$A$78,0),4)+INDEX([1]Raw_HS8480_AllMoulds!$B$2:$Y$78,MATCH("Indonesia",[1]Raw_HS8480_AllMoulds!$A$2:$A$78,0),4)+INDEX([1]Raw_HS8480_AllMoulds!$B$2:$Y$78,MATCH("India",[1]Raw_HS8480_AllMoulds!$A$2:$A$78,0),4)</f>
        <v>7932341</v>
      </c>
      <c r="F9" s="33">
        <f>INDEX([1]Raw_HS8480_AllMoulds!$B$2:$Y$78,MATCH("Malaysia",[1]Raw_HS8480_AllMoulds!$A$2:$A$78,0),5)+INDEX([1]Raw_HS8480_AllMoulds!$B$2:$Y$78,MATCH("Thailand",[1]Raw_HS8480_AllMoulds!$A$2:$A$78,0),5)+INDEX([1]Raw_HS8480_AllMoulds!$B$2:$Y$78,MATCH("Vietnam",[1]Raw_HS8480_AllMoulds!$A$2:$A$78,0),5)+INDEX([1]Raw_HS8480_AllMoulds!$B$2:$Y$78,MATCH("Indonesia",[1]Raw_HS8480_AllMoulds!$A$2:$A$78,0),5)+INDEX([1]Raw_HS8480_AllMoulds!$B$2:$Y$78,MATCH("India",[1]Raw_HS8480_AllMoulds!$A$2:$A$78,0),5)</f>
        <v>13146519</v>
      </c>
      <c r="G9" s="33">
        <f>INDEX([1]Raw_HS8480_AllMoulds!$B$2:$Y$78,MATCH("Malaysia",[1]Raw_HS8480_AllMoulds!$A$2:$A$78,0),6)+INDEX([1]Raw_HS8480_AllMoulds!$B$2:$Y$78,MATCH("Thailand",[1]Raw_HS8480_AllMoulds!$A$2:$A$78,0),6)+INDEX([1]Raw_HS8480_AllMoulds!$B$2:$Y$78,MATCH("Vietnam",[1]Raw_HS8480_AllMoulds!$A$2:$A$78,0),6)+INDEX([1]Raw_HS8480_AllMoulds!$B$2:$Y$78,MATCH("Indonesia",[1]Raw_HS8480_AllMoulds!$A$2:$A$78,0),6)+INDEX([1]Raw_HS8480_AllMoulds!$B$2:$Y$78,MATCH("India",[1]Raw_HS8480_AllMoulds!$A$2:$A$78,0),6)</f>
        <v>13804506</v>
      </c>
      <c r="H9" s="33">
        <f>INDEX([1]Raw_HS8480_AllMoulds!$B$2:$Y$78,MATCH("Malaysia",[1]Raw_HS8480_AllMoulds!$A$2:$A$78,0),7)+INDEX([1]Raw_HS8480_AllMoulds!$B$2:$Y$78,MATCH("Thailand",[1]Raw_HS8480_AllMoulds!$A$2:$A$78,0),7)+INDEX([1]Raw_HS8480_AllMoulds!$B$2:$Y$78,MATCH("Vietnam",[1]Raw_HS8480_AllMoulds!$A$2:$A$78,0),7)+INDEX([1]Raw_HS8480_AllMoulds!$B$2:$Y$78,MATCH("Indonesia",[1]Raw_HS8480_AllMoulds!$A$2:$A$78,0),7)+INDEX([1]Raw_HS8480_AllMoulds!$B$2:$Y$78,MATCH("India",[1]Raw_HS8480_AllMoulds!$A$2:$A$78,0),7)</f>
        <v>14433045</v>
      </c>
      <c r="I9" s="33">
        <f>INDEX([1]Raw_HS8480_AllMoulds!$B$2:$Y$78,MATCH("Malaysia",[1]Raw_HS8480_AllMoulds!$A$2:$A$78,0),8)+INDEX([1]Raw_HS8480_AllMoulds!$B$2:$Y$78,MATCH("Thailand",[1]Raw_HS8480_AllMoulds!$A$2:$A$78,0),8)+INDEX([1]Raw_HS8480_AllMoulds!$B$2:$Y$78,MATCH("Vietnam",[1]Raw_HS8480_AllMoulds!$A$2:$A$78,0),8)+INDEX([1]Raw_HS8480_AllMoulds!$B$2:$Y$78,MATCH("Indonesia",[1]Raw_HS8480_AllMoulds!$A$2:$A$78,0),8)+INDEX([1]Raw_HS8480_AllMoulds!$B$2:$Y$78,MATCH("India",[1]Raw_HS8480_AllMoulds!$A$2:$A$78,0),8)</f>
        <v>10230123</v>
      </c>
      <c r="J9" s="33">
        <f>INDEX([1]Raw_HS8480_AllMoulds!$B$2:$Y$78,MATCH("Malaysia",[1]Raw_HS8480_AllMoulds!$A$2:$A$78,0),9)+INDEX([1]Raw_HS8480_AllMoulds!$B$2:$Y$78,MATCH("Thailand",[1]Raw_HS8480_AllMoulds!$A$2:$A$78,0),9)+INDEX([1]Raw_HS8480_AllMoulds!$B$2:$Y$78,MATCH("Vietnam",[1]Raw_HS8480_AllMoulds!$A$2:$A$78,0),9)+INDEX([1]Raw_HS8480_AllMoulds!$B$2:$Y$78,MATCH("Indonesia",[1]Raw_HS8480_AllMoulds!$A$2:$A$78,0),9)+INDEX([1]Raw_HS8480_AllMoulds!$B$2:$Y$78,MATCH("India",[1]Raw_HS8480_AllMoulds!$A$2:$A$78,0),9)</f>
        <v>10180417</v>
      </c>
      <c r="K9" s="33">
        <f>INDEX([1]Raw_HS8480_AllMoulds!$B$2:$Y$78,MATCH("Malaysia",[1]Raw_HS8480_AllMoulds!$A$2:$A$78,0),10)+INDEX([1]Raw_HS8480_AllMoulds!$B$2:$Y$78,MATCH("Thailand",[1]Raw_HS8480_AllMoulds!$A$2:$A$78,0),10)+INDEX([1]Raw_HS8480_AllMoulds!$B$2:$Y$78,MATCH("Vietnam",[1]Raw_HS8480_AllMoulds!$A$2:$A$78,0),10)+INDEX([1]Raw_HS8480_AllMoulds!$B$2:$Y$78,MATCH("Indonesia",[1]Raw_HS8480_AllMoulds!$A$2:$A$78,0),10)+INDEX([1]Raw_HS8480_AllMoulds!$B$2:$Y$78,MATCH("India",[1]Raw_HS8480_AllMoulds!$A$2:$A$78,0),10)</f>
        <v>12480347</v>
      </c>
      <c r="L9" s="33">
        <f>INDEX([1]Raw_HS8480_AllMoulds!$B$2:$Y$78,MATCH("Malaysia",[1]Raw_HS8480_AllMoulds!$A$2:$A$78,0),11)+INDEX([1]Raw_HS8480_AllMoulds!$B$2:$Y$78,MATCH("Thailand",[1]Raw_HS8480_AllMoulds!$A$2:$A$78,0),11)+INDEX([1]Raw_HS8480_AllMoulds!$B$2:$Y$78,MATCH("Vietnam",[1]Raw_HS8480_AllMoulds!$A$2:$A$78,0),11)+INDEX([1]Raw_HS8480_AllMoulds!$B$2:$Y$78,MATCH("Indonesia",[1]Raw_HS8480_AllMoulds!$A$2:$A$78,0),11)+INDEX([1]Raw_HS8480_AllMoulds!$B$2:$Y$78,MATCH("India",[1]Raw_HS8480_AllMoulds!$A$2:$A$78,0),11)</f>
        <v>18796823</v>
      </c>
      <c r="M9" s="33">
        <f>INDEX([1]Raw_HS8480_AllMoulds!$B$2:$Y$78,MATCH("Malaysia",[1]Raw_HS8480_AllMoulds!$A$2:$A$78,0),12)+INDEX([1]Raw_HS8480_AllMoulds!$B$2:$Y$78,MATCH("Thailand",[1]Raw_HS8480_AllMoulds!$A$2:$A$78,0),12)+INDEX([1]Raw_HS8480_AllMoulds!$B$2:$Y$78,MATCH("Vietnam",[1]Raw_HS8480_AllMoulds!$A$2:$A$78,0),12)+INDEX([1]Raw_HS8480_AllMoulds!$B$2:$Y$78,MATCH("Indonesia",[1]Raw_HS8480_AllMoulds!$A$2:$A$78,0),12)+INDEX([1]Raw_HS8480_AllMoulds!$B$2:$Y$78,MATCH("India",[1]Raw_HS8480_AllMoulds!$A$2:$A$78,0),12)</f>
        <v>17783936</v>
      </c>
      <c r="N9" s="33">
        <f>INDEX([1]Raw_HS8480_AllMoulds!$B$2:$Y$78,MATCH("Malaysia",[1]Raw_HS8480_AllMoulds!$A$2:$A$78,0),13)+INDEX([1]Raw_HS8480_AllMoulds!$B$2:$Y$78,MATCH("Thailand",[1]Raw_HS8480_AllMoulds!$A$2:$A$78,0),13)+INDEX([1]Raw_HS8480_AllMoulds!$B$2:$Y$78,MATCH("Vietnam",[1]Raw_HS8480_AllMoulds!$A$2:$A$78,0),13)+INDEX([1]Raw_HS8480_AllMoulds!$B$2:$Y$78,MATCH("Indonesia",[1]Raw_HS8480_AllMoulds!$A$2:$A$78,0),13)+INDEX([1]Raw_HS8480_AllMoulds!$B$2:$Y$78,MATCH("India",[1]Raw_HS8480_AllMoulds!$A$2:$A$78,0),13)</f>
        <v>22229024</v>
      </c>
      <c r="O9" s="33">
        <f>INDEX([1]Raw_HS8480_AllMoulds!$B$2:$Y$78,MATCH("Malaysia",[1]Raw_HS8480_AllMoulds!$A$2:$A$78,0),14)+INDEX([1]Raw_HS8480_AllMoulds!$B$2:$Y$78,MATCH("Thailand",[1]Raw_HS8480_AllMoulds!$A$2:$A$78,0),14)+INDEX([1]Raw_HS8480_AllMoulds!$B$2:$Y$78,MATCH("Vietnam",[1]Raw_HS8480_AllMoulds!$A$2:$A$78,0),14)+INDEX([1]Raw_HS8480_AllMoulds!$B$2:$Y$78,MATCH("Indonesia",[1]Raw_HS8480_AllMoulds!$A$2:$A$78,0),14)+INDEX([1]Raw_HS8480_AllMoulds!$B$2:$Y$78,MATCH("India",[1]Raw_HS8480_AllMoulds!$A$2:$A$78,0),14)</f>
        <v>19319997</v>
      </c>
      <c r="P9" s="33">
        <f>INDEX([1]Raw_HS8480_AllMoulds!$B$2:$Y$78,MATCH("Malaysia",[1]Raw_HS8480_AllMoulds!$A$2:$A$78,0),15)+INDEX([1]Raw_HS8480_AllMoulds!$B$2:$Y$78,MATCH("Thailand",[1]Raw_HS8480_AllMoulds!$A$2:$A$78,0),15)+INDEX([1]Raw_HS8480_AllMoulds!$B$2:$Y$78,MATCH("Vietnam",[1]Raw_HS8480_AllMoulds!$A$2:$A$78,0),15)+INDEX([1]Raw_HS8480_AllMoulds!$B$2:$Y$78,MATCH("Indonesia",[1]Raw_HS8480_AllMoulds!$A$2:$A$78,0),15)+INDEX([1]Raw_HS8480_AllMoulds!$B$2:$Y$78,MATCH("India",[1]Raw_HS8480_AllMoulds!$A$2:$A$78,0),15)</f>
        <v>21825286</v>
      </c>
      <c r="Q9" s="33">
        <f>INDEX([1]Raw_HS8480_AllMoulds!$B$2:$Y$78,MATCH("Malaysia",[1]Raw_HS8480_AllMoulds!$A$2:$A$78,0),16)+INDEX([1]Raw_HS8480_AllMoulds!$B$2:$Y$78,MATCH("Thailand",[1]Raw_HS8480_AllMoulds!$A$2:$A$78,0),16)+INDEX([1]Raw_HS8480_AllMoulds!$B$2:$Y$78,MATCH("Vietnam",[1]Raw_HS8480_AllMoulds!$A$2:$A$78,0),16)+INDEX([1]Raw_HS8480_AllMoulds!$B$2:$Y$78,MATCH("Indonesia",[1]Raw_HS8480_AllMoulds!$A$2:$A$78,0),16)+INDEX([1]Raw_HS8480_AllMoulds!$B$2:$Y$78,MATCH("India",[1]Raw_HS8480_AllMoulds!$A$2:$A$78,0),16)</f>
        <v>24441845</v>
      </c>
      <c r="R9" s="33">
        <f>INDEX([1]Raw_HS8480_AllMoulds!$B$2:$Y$78,MATCH("Malaysia",[1]Raw_HS8480_AllMoulds!$A$2:$A$78,0),17)+INDEX([1]Raw_HS8480_AllMoulds!$B$2:$Y$78,MATCH("Thailand",[1]Raw_HS8480_AllMoulds!$A$2:$A$78,0),17)+INDEX([1]Raw_HS8480_AllMoulds!$B$2:$Y$78,MATCH("Vietnam",[1]Raw_HS8480_AllMoulds!$A$2:$A$78,0),17)+INDEX([1]Raw_HS8480_AllMoulds!$B$2:$Y$78,MATCH("Indonesia",[1]Raw_HS8480_AllMoulds!$A$2:$A$78,0),17)+INDEX([1]Raw_HS8480_AllMoulds!$B$2:$Y$78,MATCH("India",[1]Raw_HS8480_AllMoulds!$A$2:$A$78,0),17)</f>
        <v>32315221</v>
      </c>
      <c r="S9" s="33">
        <f>INDEX([1]Raw_HS8480_AllMoulds!$B$2:$Y$78,MATCH("Malaysia",[1]Raw_HS8480_AllMoulds!$A$2:$A$78,0),18)+INDEX([1]Raw_HS8480_AllMoulds!$B$2:$Y$78,MATCH("Thailand",[1]Raw_HS8480_AllMoulds!$A$2:$A$78,0),18)+INDEX([1]Raw_HS8480_AllMoulds!$B$2:$Y$78,MATCH("Vietnam",[1]Raw_HS8480_AllMoulds!$A$2:$A$78,0),18)+INDEX([1]Raw_HS8480_AllMoulds!$B$2:$Y$78,MATCH("Indonesia",[1]Raw_HS8480_AllMoulds!$A$2:$A$78,0),18)+INDEX([1]Raw_HS8480_AllMoulds!$B$2:$Y$78,MATCH("India",[1]Raw_HS8480_AllMoulds!$A$2:$A$78,0),18)</f>
        <v>41099362</v>
      </c>
      <c r="T9" s="33">
        <f>INDEX([1]Raw_HS8480_AllMoulds!$B$2:$Y$78,MATCH("Malaysia",[1]Raw_HS8480_AllMoulds!$A$2:$A$78,0),19)+INDEX([1]Raw_HS8480_AllMoulds!$B$2:$Y$78,MATCH("Thailand",[1]Raw_HS8480_AllMoulds!$A$2:$A$78,0),19)+INDEX([1]Raw_HS8480_AllMoulds!$B$2:$Y$78,MATCH("Vietnam",[1]Raw_HS8480_AllMoulds!$A$2:$A$78,0),19)+INDEX([1]Raw_HS8480_AllMoulds!$B$2:$Y$78,MATCH("Indonesia",[1]Raw_HS8480_AllMoulds!$A$2:$A$78,0),19)+INDEX([1]Raw_HS8480_AllMoulds!$B$2:$Y$78,MATCH("India",[1]Raw_HS8480_AllMoulds!$A$2:$A$78,0),19)</f>
        <v>57702488</v>
      </c>
      <c r="U9" s="33">
        <f>INDEX([1]Raw_HS8480_AllMoulds!$B$2:$Y$78,MATCH("Malaysia",[1]Raw_HS8480_AllMoulds!$A$2:$A$78,0),20)+INDEX([1]Raw_HS8480_AllMoulds!$B$2:$Y$78,MATCH("Thailand",[1]Raw_HS8480_AllMoulds!$A$2:$A$78,0),20)+INDEX([1]Raw_HS8480_AllMoulds!$B$2:$Y$78,MATCH("Vietnam",[1]Raw_HS8480_AllMoulds!$A$2:$A$78,0),20)+INDEX([1]Raw_HS8480_AllMoulds!$B$2:$Y$78,MATCH("Indonesia",[1]Raw_HS8480_AllMoulds!$A$2:$A$78,0),20)+INDEX([1]Raw_HS8480_AllMoulds!$B$2:$Y$78,MATCH("India",[1]Raw_HS8480_AllMoulds!$A$2:$A$78,0),20)</f>
        <v>77295547</v>
      </c>
      <c r="V9" s="33">
        <f>INDEX([1]Raw_HS8480_AllMoulds!$B$2:$Y$78,MATCH("Malaysia",[1]Raw_HS8480_AllMoulds!$A$2:$A$78,0),21)+INDEX([1]Raw_HS8480_AllMoulds!$B$2:$Y$78,MATCH("Thailand",[1]Raw_HS8480_AllMoulds!$A$2:$A$78,0),21)+INDEX([1]Raw_HS8480_AllMoulds!$B$2:$Y$78,MATCH("Vietnam",[1]Raw_HS8480_AllMoulds!$A$2:$A$78,0),21)+INDEX([1]Raw_HS8480_AllMoulds!$B$2:$Y$78,MATCH("Indonesia",[1]Raw_HS8480_AllMoulds!$A$2:$A$78,0),21)+INDEX([1]Raw_HS8480_AllMoulds!$B$2:$Y$78,MATCH("India",[1]Raw_HS8480_AllMoulds!$A$2:$A$78,0),21)</f>
        <v>88828911</v>
      </c>
      <c r="W9" s="33">
        <f>INDEX([1]Raw_HS8480_AllMoulds!$B$2:$Y$78,MATCH("Malaysia",[1]Raw_HS8480_AllMoulds!$A$2:$A$78,0),22)+INDEX([1]Raw_HS8480_AllMoulds!$B$2:$Y$78,MATCH("Thailand",[1]Raw_HS8480_AllMoulds!$A$2:$A$78,0),22)+INDEX([1]Raw_HS8480_AllMoulds!$B$2:$Y$78,MATCH("Vietnam",[1]Raw_HS8480_AllMoulds!$A$2:$A$78,0),22)+INDEX([1]Raw_HS8480_AllMoulds!$B$2:$Y$78,MATCH("Indonesia",[1]Raw_HS8480_AllMoulds!$A$2:$A$78,0),22)+INDEX([1]Raw_HS8480_AllMoulds!$B$2:$Y$78,MATCH("India",[1]Raw_HS8480_AllMoulds!$A$2:$A$78,0),22)</f>
        <v>91500974</v>
      </c>
      <c r="X9" s="33">
        <f>INDEX([1]Raw_HS8480_AllMoulds!$B$2:$Y$78,MATCH("Malaysia",[1]Raw_HS8480_AllMoulds!$A$2:$A$78,0),23)+INDEX([1]Raw_HS8480_AllMoulds!$B$2:$Y$78,MATCH("Thailand",[1]Raw_HS8480_AllMoulds!$A$2:$A$78,0),23)+INDEX([1]Raw_HS8480_AllMoulds!$B$2:$Y$78,MATCH("Vietnam",[1]Raw_HS8480_AllMoulds!$A$2:$A$78,0),23)+INDEX([1]Raw_HS8480_AllMoulds!$B$2:$Y$78,MATCH("Indonesia",[1]Raw_HS8480_AllMoulds!$A$2:$A$78,0),23)+INDEX([1]Raw_HS8480_AllMoulds!$B$2:$Y$78,MATCH("India",[1]Raw_HS8480_AllMoulds!$A$2:$A$78,0),23)</f>
        <v>89034198</v>
      </c>
      <c r="Y9" s="33">
        <f>INDEX([1]Raw_HS8480_AllMoulds!$B$2:$Y$78,MATCH("Malaysia",[1]Raw_HS8480_AllMoulds!$A$2:$A$78,0),24)+INDEX([1]Raw_HS8480_AllMoulds!$B$2:$Y$78,MATCH("Thailand",[1]Raw_HS8480_AllMoulds!$A$2:$A$78,0),24)+INDEX([1]Raw_HS8480_AllMoulds!$B$2:$Y$78,MATCH("Vietnam",[1]Raw_HS8480_AllMoulds!$A$2:$A$78,0),24)+INDEX([1]Raw_HS8480_AllMoulds!$B$2:$Y$78,MATCH("Indonesia",[1]Raw_HS8480_AllMoulds!$A$2:$A$78,0),24)+INDEX([1]Raw_HS8480_AllMoulds!$B$2:$Y$78,MATCH("India",[1]Raw_HS8480_AllMoulds!$A$2:$A$78,0),24)</f>
        <v>100868262</v>
      </c>
    </row>
    <row r="10" spans="1:25" x14ac:dyDescent="0.45">
      <c r="A10" s="32" t="s">
        <v>260</v>
      </c>
      <c r="B10" s="34">
        <f t="shared" ref="B10:Y10" si="1">B9/B5</f>
        <v>4.0929620750054258E-3</v>
      </c>
      <c r="C10" s="34">
        <f t="shared" si="1"/>
        <v>5.3581187775281576E-3</v>
      </c>
      <c r="D10" s="34">
        <f t="shared" si="1"/>
        <v>5.0854585469351293E-3</v>
      </c>
      <c r="E10" s="34">
        <f t="shared" si="1"/>
        <v>4.9506660190069222E-3</v>
      </c>
      <c r="F10" s="34">
        <f t="shared" si="1"/>
        <v>7.300419783665326E-3</v>
      </c>
      <c r="G10" s="34">
        <f t="shared" si="1"/>
        <v>8.8836365551513835E-3</v>
      </c>
      <c r="H10" s="34">
        <f t="shared" si="1"/>
        <v>9.6729330946133535E-3</v>
      </c>
      <c r="I10" s="34">
        <f t="shared" si="1"/>
        <v>9.1603836808600379E-3</v>
      </c>
      <c r="J10" s="34">
        <f t="shared" si="1"/>
        <v>8.3521157379535006E-3</v>
      </c>
      <c r="K10" s="34">
        <f t="shared" si="1"/>
        <v>8.859107665380641E-3</v>
      </c>
      <c r="L10" s="34">
        <f t="shared" si="1"/>
        <v>1.0811978250988738E-2</v>
      </c>
      <c r="M10" s="34">
        <f t="shared" si="1"/>
        <v>9.1546267748546344E-3</v>
      </c>
      <c r="N10" s="34">
        <f t="shared" si="1"/>
        <v>1.1098647050072919E-2</v>
      </c>
      <c r="O10" s="34">
        <f t="shared" si="1"/>
        <v>8.9311598366308472E-3</v>
      </c>
      <c r="P10" s="34">
        <f t="shared" si="1"/>
        <v>9.8276526626494172E-3</v>
      </c>
      <c r="Q10" s="34">
        <f t="shared" si="1"/>
        <v>9.4062578821252213E-3</v>
      </c>
      <c r="R10" s="34">
        <f t="shared" si="1"/>
        <v>1.1870717480840844E-2</v>
      </c>
      <c r="S10" s="34">
        <f t="shared" si="1"/>
        <v>1.6659569404280487E-2</v>
      </c>
      <c r="T10" s="34">
        <f t="shared" si="1"/>
        <v>2.6584923532732258E-2</v>
      </c>
      <c r="U10" s="34">
        <f t="shared" si="1"/>
        <v>3.1162370186676704E-2</v>
      </c>
      <c r="V10" s="34">
        <f t="shared" si="1"/>
        <v>3.3868496297675015E-2</v>
      </c>
      <c r="W10" s="34">
        <f t="shared" si="1"/>
        <v>3.5837838115666779E-2</v>
      </c>
      <c r="X10" s="34">
        <f t="shared" si="1"/>
        <v>3.8557904041655551E-2</v>
      </c>
      <c r="Y10" s="34">
        <f t="shared" si="1"/>
        <v>4.4048523248206545E-2</v>
      </c>
    </row>
    <row r="13" spans="1:25" x14ac:dyDescent="0.45">
      <c r="A13" s="12" t="s">
        <v>261</v>
      </c>
      <c r="B13" s="12"/>
      <c r="C13" s="12"/>
      <c r="D13" s="12"/>
      <c r="E13" s="12"/>
      <c r="F13" s="12"/>
      <c r="G13" s="12"/>
    </row>
    <row r="14" spans="1:25" x14ac:dyDescent="0.45">
      <c r="A14" s="35" t="s">
        <v>249</v>
      </c>
      <c r="B14" s="36" t="s">
        <v>262</v>
      </c>
      <c r="C14" s="36" t="s">
        <v>263</v>
      </c>
      <c r="D14" s="36" t="s">
        <v>264</v>
      </c>
      <c r="E14" s="36" t="s">
        <v>265</v>
      </c>
      <c r="F14" s="36" t="s">
        <v>266</v>
      </c>
      <c r="G14" s="36" t="s">
        <v>267</v>
      </c>
    </row>
    <row r="15" spans="1:25" x14ac:dyDescent="0.45">
      <c r="A15" s="24" t="s">
        <v>4</v>
      </c>
      <c r="B15" s="25">
        <f>INDEX([1]Raw_HS8480_AllMoulds!$B$2:$Y$78,MATCH("China",[1]Raw_HS8480_AllMoulds!$A$2:$A$78,0),17)</f>
        <v>599098208</v>
      </c>
      <c r="C15" s="26">
        <f>INDEX([1]Raw_HS8480_AllMoulds!$B$2:$Y$78,MATCH("China",[1]Raw_HS8480_AllMoulds!$A$2:$A$78,0),17)/INDEX([1]Raw_HS8480_AllMoulds!$B$2:$Y$78,MATCH("All Geographic Regions (World Total)",[1]Raw_HS8480_AllMoulds!$A$2:$A$78,0),17)</f>
        <v>0.22007355513508708</v>
      </c>
      <c r="D15" s="25">
        <f>INDEX([1]Raw_HS8480_AllMoulds!$B$2:$Y$78,MATCH("China",[1]Raw_HS8480_AllMoulds!$A$2:$A$78,0),24)</f>
        <v>352766466</v>
      </c>
      <c r="E15" s="26">
        <f>INDEX([1]Raw_HS8480_AllMoulds!$B$2:$Y$78,MATCH("China",[1]Raw_HS8480_AllMoulds!$A$2:$A$78,0),24)/INDEX([1]Raw_HS8480_AllMoulds!$B$2:$Y$78,MATCH("All Geographic Regions (World Total)",[1]Raw_HS8480_AllMoulds!$A$2:$A$78,0),24)</f>
        <v>0.15405085376397842</v>
      </c>
      <c r="F15" s="26">
        <f>(INDEX([1]Raw_HS8480_AllMoulds!$B$2:$Y$78,MATCH("China",[1]Raw_HS8480_AllMoulds!$A$2:$A$78,0),24)/INDEX([1]Raw_HS8480_AllMoulds!$B$2:$Y$78,MATCH("China",[1]Raw_HS8480_AllMoulds!$A$2:$A$78,0),17))^(1/7)-1</f>
        <v>-7.2868525580018439E-2</v>
      </c>
      <c r="G15" s="37">
        <f t="shared" ref="G15:G20" si="2">(E15-C15)*100</f>
        <v>-6.6022701371108656</v>
      </c>
    </row>
    <row r="16" spans="1:25" x14ac:dyDescent="0.45">
      <c r="A16" s="27" t="s">
        <v>3</v>
      </c>
      <c r="B16" s="28">
        <f>INDEX([1]Raw_HS8480_AllMoulds!$B$2:$Y$78,MATCH("India",[1]Raw_HS8480_AllMoulds!$A$2:$A$78,0),17)</f>
        <v>21193346</v>
      </c>
      <c r="C16" s="29">
        <f>INDEX([1]Raw_HS8480_AllMoulds!$B$2:$Y$78,MATCH("India",[1]Raw_HS8480_AllMoulds!$A$2:$A$78,0),17)/INDEX([1]Raw_HS8480_AllMoulds!$B$2:$Y$78,MATCH("All Geographic Regions (World Total)",[1]Raw_HS8480_AllMoulds!$A$2:$A$78,0),17)</f>
        <v>7.7851927065486683E-3</v>
      </c>
      <c r="D16" s="28">
        <f>INDEX([1]Raw_HS8480_AllMoulds!$B$2:$Y$78,MATCH("India",[1]Raw_HS8480_AllMoulds!$A$2:$A$78,0),24)</f>
        <v>31344012</v>
      </c>
      <c r="E16" s="29">
        <f>INDEX([1]Raw_HS8480_AllMoulds!$B$2:$Y$78,MATCH("India",[1]Raw_HS8480_AllMoulds!$A$2:$A$78,0),24)/INDEX([1]Raw_HS8480_AllMoulds!$B$2:$Y$78,MATCH("All Geographic Regions (World Total)",[1]Raw_HS8480_AllMoulds!$A$2:$A$78,0),24)</f>
        <v>1.3687729062626903E-2</v>
      </c>
      <c r="F16" s="29">
        <f>(INDEX([1]Raw_HS8480_AllMoulds!$B$2:$Y$78,MATCH("India",[1]Raw_HS8480_AllMoulds!$A$2:$A$78,0),24)/INDEX([1]Raw_HS8480_AllMoulds!$B$2:$Y$78,MATCH("India",[1]Raw_HS8480_AllMoulds!$A$2:$A$78,0),17))^(1/7)-1</f>
        <v>5.7497364712655097E-2</v>
      </c>
      <c r="G16" s="38">
        <f t="shared" si="2"/>
        <v>0.5902536356078234</v>
      </c>
    </row>
    <row r="17" spans="1:7" x14ac:dyDescent="0.45">
      <c r="A17" s="24" t="s">
        <v>13</v>
      </c>
      <c r="B17" s="25">
        <f>INDEX([1]Raw_HS8480_AllMoulds!$B$2:$Y$78,MATCH("Thailand",[1]Raw_HS8480_AllMoulds!$A$2:$A$78,0),17)</f>
        <v>3845733</v>
      </c>
      <c r="C17" s="26">
        <f>INDEX([1]Raw_HS8480_AllMoulds!$B$2:$Y$78,MATCH("Thailand",[1]Raw_HS8480_AllMoulds!$A$2:$A$78,0),17)/INDEX([1]Raw_HS8480_AllMoulds!$B$2:$Y$78,MATCH("All Geographic Regions (World Total)",[1]Raw_HS8480_AllMoulds!$A$2:$A$78,0),17)</f>
        <v>1.4126968201686289E-3</v>
      </c>
      <c r="D17" s="25">
        <f>INDEX([1]Raw_HS8480_AllMoulds!$B$2:$Y$78,MATCH("Thailand",[1]Raw_HS8480_AllMoulds!$A$2:$A$78,0),24)</f>
        <v>44930058</v>
      </c>
      <c r="E17" s="26">
        <f>INDEX([1]Raw_HS8480_AllMoulds!$B$2:$Y$78,MATCH("Thailand",[1]Raw_HS8480_AllMoulds!$A$2:$A$78,0),24)/INDEX([1]Raw_HS8480_AllMoulds!$B$2:$Y$78,MATCH("All Geographic Regions (World Total)",[1]Raw_HS8480_AllMoulds!$A$2:$A$78,0),24)</f>
        <v>1.9620668237113757E-2</v>
      </c>
      <c r="F17" s="26">
        <f>(INDEX([1]Raw_HS8480_AllMoulds!$B$2:$Y$78,MATCH("Thailand",[1]Raw_HS8480_AllMoulds!$A$2:$A$78,0),24)/INDEX([1]Raw_HS8480_AllMoulds!$B$2:$Y$78,MATCH("Thailand",[1]Raw_HS8480_AllMoulds!$A$2:$A$78,0),17))^(1/7)-1</f>
        <v>0.42071924792156046</v>
      </c>
      <c r="G17" s="37">
        <f t="shared" si="2"/>
        <v>1.8207971416945128</v>
      </c>
    </row>
    <row r="18" spans="1:7" x14ac:dyDescent="0.45">
      <c r="A18" s="27" t="s">
        <v>9</v>
      </c>
      <c r="B18" s="28">
        <f>INDEX([1]Raw_HS8480_AllMoulds!$B$2:$Y$78,MATCH("Malaysia",[1]Raw_HS8480_AllMoulds!$A$2:$A$78,0),17)</f>
        <v>2501611</v>
      </c>
      <c r="C18" s="29">
        <f>INDEX([1]Raw_HS8480_AllMoulds!$B$2:$Y$78,MATCH("Malaysia",[1]Raw_HS8480_AllMoulds!$A$2:$A$78,0),17)/INDEX([1]Raw_HS8480_AllMoulds!$B$2:$Y$78,MATCH("All Geographic Regions (World Total)",[1]Raw_HS8480_AllMoulds!$A$2:$A$78,0),17)</f>
        <v>9.1894520628417627E-4</v>
      </c>
      <c r="D18" s="28">
        <f>INDEX([1]Raw_HS8480_AllMoulds!$B$2:$Y$78,MATCH("Malaysia",[1]Raw_HS8480_AllMoulds!$A$2:$A$78,0),24)</f>
        <v>10642976</v>
      </c>
      <c r="E18" s="29">
        <f>INDEX([1]Raw_HS8480_AllMoulds!$B$2:$Y$78,MATCH("Malaysia",[1]Raw_HS8480_AllMoulds!$A$2:$A$78,0),24)/INDEX([1]Raw_HS8480_AllMoulds!$B$2:$Y$78,MATCH("All Geographic Regions (World Total)",[1]Raw_HS8480_AllMoulds!$A$2:$A$78,0),24)</f>
        <v>4.6477193764487019E-3</v>
      </c>
      <c r="F18" s="29">
        <f>(INDEX([1]Raw_HS8480_AllMoulds!$B$2:$Y$78,MATCH("Malaysia",[1]Raw_HS8480_AllMoulds!$A$2:$A$78,0),24)/INDEX([1]Raw_HS8480_AllMoulds!$B$2:$Y$78,MATCH("Malaysia",[1]Raw_HS8480_AllMoulds!$A$2:$A$78,0),17))^(1/7)-1</f>
        <v>0.22980076211692757</v>
      </c>
      <c r="G18" s="38">
        <f t="shared" si="2"/>
        <v>0.37287741701645255</v>
      </c>
    </row>
    <row r="19" spans="1:7" x14ac:dyDescent="0.45">
      <c r="A19" s="24" t="s">
        <v>14</v>
      </c>
      <c r="B19" s="25">
        <f>INDEX([1]Raw_HS8480_AllMoulds!$B$2:$Y$78,MATCH("Vietnam",[1]Raw_HS8480_AllMoulds!$A$2:$A$78,0),17)</f>
        <v>1815638</v>
      </c>
      <c r="C19" s="26">
        <f>INDEX([1]Raw_HS8480_AllMoulds!$B$2:$Y$78,MATCH("Vietnam",[1]Raw_HS8480_AllMoulds!$A$2:$A$78,0),17)/INDEX([1]Raw_HS8480_AllMoulds!$B$2:$Y$78,MATCH("All Geographic Regions (World Total)",[1]Raw_HS8480_AllMoulds!$A$2:$A$78,0),17)</f>
        <v>6.6695894623400244E-4</v>
      </c>
      <c r="D19" s="25">
        <f>INDEX([1]Raw_HS8480_AllMoulds!$B$2:$Y$78,MATCH("Vietnam",[1]Raw_HS8480_AllMoulds!$A$2:$A$78,0),24)</f>
        <v>7459776</v>
      </c>
      <c r="E19" s="26">
        <f>INDEX([1]Raw_HS8480_AllMoulds!$B$2:$Y$78,MATCH("Vietnam",[1]Raw_HS8480_AllMoulds!$A$2:$A$78,0),24)/INDEX([1]Raw_HS8480_AllMoulds!$B$2:$Y$78,MATCH("All Geographic Regions (World Total)",[1]Raw_HS8480_AllMoulds!$A$2:$A$78,0),24)</f>
        <v>3.2576363471238674E-3</v>
      </c>
      <c r="F19" s="26">
        <f>(INDEX([1]Raw_HS8480_AllMoulds!$B$2:$Y$78,MATCH("Vietnam",[1]Raw_HS8480_AllMoulds!$A$2:$A$78,0),24)/INDEX([1]Raw_HS8480_AllMoulds!$B$2:$Y$78,MATCH("Vietnam",[1]Raw_HS8480_AllMoulds!$A$2:$A$78,0),17))^(1/7)-1</f>
        <v>0.22368865002316629</v>
      </c>
      <c r="G19" s="37">
        <f t="shared" si="2"/>
        <v>0.25906774008898653</v>
      </c>
    </row>
    <row r="20" spans="1:7" x14ac:dyDescent="0.45">
      <c r="A20" s="27" t="s">
        <v>6</v>
      </c>
      <c r="B20" s="28">
        <f>INDEX([1]Raw_HS8480_AllMoulds!$B$2:$Y$78,MATCH("Indonesia",[1]Raw_HS8480_AllMoulds!$A$2:$A$78,0),17)</f>
        <v>2958893</v>
      </c>
      <c r="C20" s="29">
        <f>INDEX([1]Raw_HS8480_AllMoulds!$B$2:$Y$78,MATCH("Indonesia",[1]Raw_HS8480_AllMoulds!$A$2:$A$78,0),17)/INDEX([1]Raw_HS8480_AllMoulds!$B$2:$Y$78,MATCH("All Geographic Regions (World Total)",[1]Raw_HS8480_AllMoulds!$A$2:$A$78,0),17)</f>
        <v>1.0869238016053674E-3</v>
      </c>
      <c r="D20" s="28">
        <f>INDEX([1]Raw_HS8480_AllMoulds!$B$2:$Y$78,MATCH("Indonesia",[1]Raw_HS8480_AllMoulds!$A$2:$A$78,0),24)</f>
        <v>6491440</v>
      </c>
      <c r="E20" s="29">
        <f>INDEX([1]Raw_HS8480_AllMoulds!$B$2:$Y$78,MATCH("Indonesia",[1]Raw_HS8480_AllMoulds!$A$2:$A$78,0),24)/INDEX([1]Raw_HS8480_AllMoulds!$B$2:$Y$78,MATCH("All Geographic Regions (World Total)",[1]Raw_HS8480_AllMoulds!$A$2:$A$78,0),24)</f>
        <v>2.8347702248933157E-3</v>
      </c>
      <c r="F20" s="29">
        <f>(INDEX([1]Raw_HS8480_AllMoulds!$B$2:$Y$78,MATCH("Indonesia",[1]Raw_HS8480_AllMoulds!$A$2:$A$78,0),24)/INDEX([1]Raw_HS8480_AllMoulds!$B$2:$Y$78,MATCH("Indonesia",[1]Raw_HS8480_AllMoulds!$A$2:$A$78,0),17))^(1/7)-1</f>
        <v>0.11877960567668389</v>
      </c>
      <c r="G20" s="38">
        <f t="shared" si="2"/>
        <v>0.17478464232879481</v>
      </c>
    </row>
  </sheetData>
  <mergeCells count="3">
    <mergeCell ref="A1:N1"/>
    <mergeCell ref="A2:N2"/>
    <mergeCell ref="A13:G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C924-E33E-4F7D-A7C4-A70F6B083B89}">
  <dimension ref="A1:G30"/>
  <sheetViews>
    <sheetView showGridLines="0" topLeftCell="A3" zoomScaleNormal="100" workbookViewId="0">
      <selection activeCell="J24" sqref="J24"/>
    </sheetView>
  </sheetViews>
  <sheetFormatPr defaultColWidth="8.6640625" defaultRowHeight="14.25" x14ac:dyDescent="0.45"/>
  <cols>
    <col min="1" max="1" width="20" style="10" customWidth="1"/>
    <col min="2" max="7" width="13" style="10" customWidth="1"/>
    <col min="8" max="16384" width="8.6640625" style="10"/>
  </cols>
  <sheetData>
    <row r="1" spans="1:7" ht="17.649999999999999" x14ac:dyDescent="0.5">
      <c r="A1" s="21" t="s">
        <v>247</v>
      </c>
      <c r="B1" s="21"/>
      <c r="C1" s="21"/>
      <c r="D1" s="21"/>
      <c r="E1" s="21"/>
      <c r="F1" s="21"/>
      <c r="G1" s="21"/>
    </row>
    <row r="2" spans="1:7" x14ac:dyDescent="0.45">
      <c r="A2" s="11" t="s">
        <v>248</v>
      </c>
      <c r="B2" s="11"/>
      <c r="C2" s="11"/>
      <c r="D2" s="11"/>
      <c r="E2" s="11"/>
      <c r="F2" s="11"/>
      <c r="G2" s="11"/>
    </row>
    <row r="4" spans="1:7" x14ac:dyDescent="0.45">
      <c r="A4" s="22" t="s">
        <v>249</v>
      </c>
      <c r="B4" s="23" t="s">
        <v>28</v>
      </c>
      <c r="C4" s="23" t="s">
        <v>33</v>
      </c>
      <c r="D4" s="23" t="s">
        <v>38</v>
      </c>
      <c r="E4" s="23" t="s">
        <v>250</v>
      </c>
      <c r="F4" s="23" t="s">
        <v>251</v>
      </c>
      <c r="G4" s="23" t="s">
        <v>252</v>
      </c>
    </row>
    <row r="5" spans="1:7" x14ac:dyDescent="0.45">
      <c r="A5" s="24" t="s">
        <v>143</v>
      </c>
      <c r="B5" s="25">
        <f>INDEX([1]Raw_HS8480_AllMoulds!$B$2:$Y$78,MATCH("Netherlands",[1]Raw_HS8480_AllMoulds!$A$2:$A$78,0),14)</f>
        <v>2722808</v>
      </c>
      <c r="C5" s="25">
        <f>INDEX([1]Raw_HS8480_AllMoulds!$B$2:$Y$78,MATCH("Netherlands",[1]Raw_HS8480_AllMoulds!$A$2:$A$78,0),19)</f>
        <v>7486052</v>
      </c>
      <c r="D5" s="25">
        <f>INDEX([1]Raw_HS8480_AllMoulds!$B$2:$Y$78,MATCH("Netherlands",[1]Raw_HS8480_AllMoulds!$A$2:$A$78,0),24)</f>
        <v>69024266</v>
      </c>
      <c r="E5" s="26">
        <f t="shared" ref="E5:E30" si="0">(D5/B5)^(1/10)-1</f>
        <v>0.38165138883388772</v>
      </c>
      <c r="F5" s="26">
        <f t="shared" ref="F5:F30" si="1">(D5/C5)^(1/5)-1</f>
        <v>0.55937221445498242</v>
      </c>
      <c r="G5" s="26">
        <f>D5/INDEX([1]Raw_HS8480_AllMoulds!$B$2:$Y$78,MATCH("All Geographic Regions (World Total)",[1]Raw_HS8480_AllMoulds!$A$2:$A$78,0),24)</f>
        <v>3.0142454378676541E-2</v>
      </c>
    </row>
    <row r="6" spans="1:7" x14ac:dyDescent="0.45">
      <c r="A6" s="27" t="s">
        <v>13</v>
      </c>
      <c r="B6" s="28">
        <f>INDEX([1]Raw_HS8480_AllMoulds!$B$2:$Y$78,MATCH("Thailand",[1]Raw_HS8480_AllMoulds!$A$2:$A$78,0),14)</f>
        <v>4071083</v>
      </c>
      <c r="C6" s="28">
        <f>INDEX([1]Raw_HS8480_AllMoulds!$B$2:$Y$78,MATCH("Thailand",[1]Raw_HS8480_AllMoulds!$A$2:$A$78,0),19)</f>
        <v>29536927</v>
      </c>
      <c r="D6" s="28">
        <f>INDEX([1]Raw_HS8480_AllMoulds!$B$2:$Y$78,MATCH("Thailand",[1]Raw_HS8480_AllMoulds!$A$2:$A$78,0),24)</f>
        <v>44930058</v>
      </c>
      <c r="E6" s="29">
        <f t="shared" si="0"/>
        <v>0.2714014495687751</v>
      </c>
      <c r="F6" s="29">
        <f t="shared" si="1"/>
        <v>8.7512691377142682E-2</v>
      </c>
      <c r="G6" s="29">
        <f>D6/INDEX([1]Raw_HS8480_AllMoulds!$B$2:$Y$78,MATCH("All Geographic Regions (World Total)",[1]Raw_HS8480_AllMoulds!$A$2:$A$78,0),24)</f>
        <v>1.9620668237113757E-2</v>
      </c>
    </row>
    <row r="7" spans="1:7" x14ac:dyDescent="0.45">
      <c r="A7" s="24" t="s">
        <v>14</v>
      </c>
      <c r="B7" s="25">
        <f>INDEX([1]Raw_HS8480_AllMoulds!$B$2:$Y$78,MATCH("Vietnam",[1]Raw_HS8480_AllMoulds!$A$2:$A$78,0),14)</f>
        <v>1205463</v>
      </c>
      <c r="C7" s="25">
        <f>INDEX([1]Raw_HS8480_AllMoulds!$B$2:$Y$78,MATCH("Vietnam",[1]Raw_HS8480_AllMoulds!$A$2:$A$78,0),19)</f>
        <v>3554000</v>
      </c>
      <c r="D7" s="25">
        <f>INDEX([1]Raw_HS8480_AllMoulds!$B$2:$Y$78,MATCH("Vietnam",[1]Raw_HS8480_AllMoulds!$A$2:$A$78,0),24)</f>
        <v>7459776</v>
      </c>
      <c r="E7" s="26">
        <f t="shared" si="0"/>
        <v>0.19993353306159012</v>
      </c>
      <c r="F7" s="26">
        <f t="shared" si="1"/>
        <v>0.15984958829090989</v>
      </c>
      <c r="G7" s="26">
        <f>D7/INDEX([1]Raw_HS8480_AllMoulds!$B$2:$Y$78,MATCH("All Geographic Regions (World Total)",[1]Raw_HS8480_AllMoulds!$A$2:$A$78,0),24)</f>
        <v>3.2576363471238674E-3</v>
      </c>
    </row>
    <row r="8" spans="1:7" x14ac:dyDescent="0.45">
      <c r="A8" s="27" t="s">
        <v>145</v>
      </c>
      <c r="B8" s="28">
        <f>INDEX([1]Raw_HS8480_AllMoulds!$B$2:$Y$78,MATCH("Poland",[1]Raw_HS8480_AllMoulds!$A$2:$A$78,0),14)</f>
        <v>2880802</v>
      </c>
      <c r="C8" s="28">
        <f>INDEX([1]Raw_HS8480_AllMoulds!$B$2:$Y$78,MATCH("Poland",[1]Raw_HS8480_AllMoulds!$A$2:$A$78,0),19)</f>
        <v>6304023</v>
      </c>
      <c r="D8" s="28">
        <f>INDEX([1]Raw_HS8480_AllMoulds!$B$2:$Y$78,MATCH("Poland",[1]Raw_HS8480_AllMoulds!$A$2:$A$78,0),24)</f>
        <v>12536144</v>
      </c>
      <c r="E8" s="29">
        <f t="shared" si="0"/>
        <v>0.15841735734176288</v>
      </c>
      <c r="F8" s="29">
        <f t="shared" si="1"/>
        <v>0.14738518141348678</v>
      </c>
      <c r="G8" s="29">
        <f>D8/INDEX([1]Raw_HS8480_AllMoulds!$B$2:$Y$78,MATCH("All Geographic Regions (World Total)",[1]Raw_HS8480_AllMoulds!$A$2:$A$78,0),24)</f>
        <v>5.474453703057409E-3</v>
      </c>
    </row>
    <row r="9" spans="1:7" x14ac:dyDescent="0.45">
      <c r="A9" s="24" t="s">
        <v>3</v>
      </c>
      <c r="B9" s="25">
        <f>INDEX([1]Raw_HS8480_AllMoulds!$B$2:$Y$78,MATCH("India",[1]Raw_HS8480_AllMoulds!$A$2:$A$78,0),14)</f>
        <v>8445822</v>
      </c>
      <c r="C9" s="25">
        <f>INDEX([1]Raw_HS8480_AllMoulds!$B$2:$Y$78,MATCH("India",[1]Raw_HS8480_AllMoulds!$A$2:$A$78,0),19)</f>
        <v>15724633</v>
      </c>
      <c r="D9" s="25">
        <f>INDEX([1]Raw_HS8480_AllMoulds!$B$2:$Y$78,MATCH("India",[1]Raw_HS8480_AllMoulds!$A$2:$A$78,0),24)</f>
        <v>31344012</v>
      </c>
      <c r="E9" s="26">
        <f t="shared" si="0"/>
        <v>0.14012184272964445</v>
      </c>
      <c r="F9" s="26">
        <f t="shared" si="1"/>
        <v>0.14792843381736565</v>
      </c>
      <c r="G9" s="26">
        <f>D9/INDEX([1]Raw_HS8480_AllMoulds!$B$2:$Y$78,MATCH("All Geographic Regions (World Total)",[1]Raw_HS8480_AllMoulds!$A$2:$A$78,0),24)</f>
        <v>1.3687729062626903E-2</v>
      </c>
    </row>
    <row r="10" spans="1:7" x14ac:dyDescent="0.45">
      <c r="A10" s="27" t="s">
        <v>9</v>
      </c>
      <c r="B10" s="28">
        <f>INDEX([1]Raw_HS8480_AllMoulds!$B$2:$Y$78,MATCH("Malaysia",[1]Raw_HS8480_AllMoulds!$A$2:$A$78,0),14)</f>
        <v>3119339</v>
      </c>
      <c r="C10" s="28">
        <f>INDEX([1]Raw_HS8480_AllMoulds!$B$2:$Y$78,MATCH("Malaysia",[1]Raw_HS8480_AllMoulds!$A$2:$A$78,0),19)</f>
        <v>3729844</v>
      </c>
      <c r="D10" s="28">
        <f>INDEX([1]Raw_HS8480_AllMoulds!$B$2:$Y$78,MATCH("Malaysia",[1]Raw_HS8480_AllMoulds!$A$2:$A$78,0),24)</f>
        <v>10642976</v>
      </c>
      <c r="E10" s="29">
        <f t="shared" si="0"/>
        <v>0.13057675183115891</v>
      </c>
      <c r="F10" s="29">
        <f t="shared" si="1"/>
        <v>0.23331633304025301</v>
      </c>
      <c r="G10" s="29">
        <f>D10/INDEX([1]Raw_HS8480_AllMoulds!$B$2:$Y$78,MATCH("All Geographic Regions (World Total)",[1]Raw_HS8480_AllMoulds!$A$2:$A$78,0),24)</f>
        <v>4.6477193764487019E-3</v>
      </c>
    </row>
    <row r="11" spans="1:7" x14ac:dyDescent="0.45">
      <c r="A11" s="24" t="s">
        <v>6</v>
      </c>
      <c r="B11" s="25">
        <f>INDEX([1]Raw_HS8480_AllMoulds!$B$2:$Y$78,MATCH("Indonesia",[1]Raw_HS8480_AllMoulds!$A$2:$A$78,0),14)</f>
        <v>2478290</v>
      </c>
      <c r="C11" s="25">
        <f>INDEX([1]Raw_HS8480_AllMoulds!$B$2:$Y$78,MATCH("Indonesia",[1]Raw_HS8480_AllMoulds!$A$2:$A$78,0),19)</f>
        <v>5157084</v>
      </c>
      <c r="D11" s="25">
        <f>INDEX([1]Raw_HS8480_AllMoulds!$B$2:$Y$78,MATCH("Indonesia",[1]Raw_HS8480_AllMoulds!$A$2:$A$78,0),24)</f>
        <v>6491440</v>
      </c>
      <c r="E11" s="26">
        <f t="shared" si="0"/>
        <v>0.10108004586195718</v>
      </c>
      <c r="F11" s="26">
        <f t="shared" si="1"/>
        <v>4.7098092371293809E-2</v>
      </c>
      <c r="G11" s="26">
        <f>D11/INDEX([1]Raw_HS8480_AllMoulds!$B$2:$Y$78,MATCH("All Geographic Regions (World Total)",[1]Raw_HS8480_AllMoulds!$A$2:$A$78,0),24)</f>
        <v>2.8347702248933157E-3</v>
      </c>
    </row>
    <row r="12" spans="1:7" x14ac:dyDescent="0.45">
      <c r="A12" s="27" t="s">
        <v>146</v>
      </c>
      <c r="B12" s="28">
        <f>INDEX([1]Raw_HS8480_AllMoulds!$B$2:$Y$78,MATCH("Portugal",[1]Raw_HS8480_AllMoulds!$A$2:$A$78,0),14)</f>
        <v>16063471</v>
      </c>
      <c r="C12" s="28">
        <f>INDEX([1]Raw_HS8480_AllMoulds!$B$2:$Y$78,MATCH("Portugal",[1]Raw_HS8480_AllMoulds!$A$2:$A$78,0),19)</f>
        <v>12014096</v>
      </c>
      <c r="D12" s="28">
        <f>INDEX([1]Raw_HS8480_AllMoulds!$B$2:$Y$78,MATCH("Portugal",[1]Raw_HS8480_AllMoulds!$A$2:$A$78,0),24)</f>
        <v>35688078</v>
      </c>
      <c r="E12" s="29">
        <f t="shared" si="0"/>
        <v>8.3099552966428458E-2</v>
      </c>
      <c r="F12" s="29">
        <f t="shared" si="1"/>
        <v>0.24327274255632236</v>
      </c>
      <c r="G12" s="29">
        <f>D12/INDEX([1]Raw_HS8480_AllMoulds!$B$2:$Y$78,MATCH("All Geographic Regions (World Total)",[1]Raw_HS8480_AllMoulds!$A$2:$A$78,0),24)</f>
        <v>1.5584754830680125E-2</v>
      </c>
    </row>
    <row r="13" spans="1:7" x14ac:dyDescent="0.45">
      <c r="A13" s="24" t="s">
        <v>160</v>
      </c>
      <c r="B13" s="25">
        <f>INDEX([1]Raw_HS8480_AllMoulds!$B$2:$Y$78,MATCH("Turkey",[1]Raw_HS8480_AllMoulds!$A$2:$A$78,0),14)</f>
        <v>2742890</v>
      </c>
      <c r="C13" s="25">
        <f>INDEX([1]Raw_HS8480_AllMoulds!$B$2:$Y$78,MATCH("Turkey",[1]Raw_HS8480_AllMoulds!$A$2:$A$78,0),19)</f>
        <v>4751656</v>
      </c>
      <c r="D13" s="25">
        <f>INDEX([1]Raw_HS8480_AllMoulds!$B$2:$Y$78,MATCH("Turkey",[1]Raw_HS8480_AllMoulds!$A$2:$A$78,0),24)</f>
        <v>5516184</v>
      </c>
      <c r="E13" s="26">
        <f t="shared" si="0"/>
        <v>7.23659983822873E-2</v>
      </c>
      <c r="F13" s="26">
        <f t="shared" si="1"/>
        <v>3.0288258390622325E-2</v>
      </c>
      <c r="G13" s="26">
        <f>D13/INDEX([1]Raw_HS8480_AllMoulds!$B$2:$Y$78,MATCH("All Geographic Regions (World Total)",[1]Raw_HS8480_AllMoulds!$A$2:$A$78,0),24)</f>
        <v>2.4088821830337967E-3</v>
      </c>
    </row>
    <row r="14" spans="1:7" x14ac:dyDescent="0.45">
      <c r="A14" s="27" t="s">
        <v>171</v>
      </c>
      <c r="B14" s="28">
        <f>INDEX([1]Raw_HS8480_AllMoulds!$B$2:$Y$78,MATCH("Mexico",[1]Raw_HS8480_AllMoulds!$A$2:$A$78,0),14)</f>
        <v>32634968</v>
      </c>
      <c r="C14" s="28">
        <f>INDEX([1]Raw_HS8480_AllMoulds!$B$2:$Y$78,MATCH("Mexico",[1]Raw_HS8480_AllMoulds!$A$2:$A$78,0),19)</f>
        <v>31033278</v>
      </c>
      <c r="D14" s="28">
        <f>INDEX([1]Raw_HS8480_AllMoulds!$B$2:$Y$78,MATCH("Mexico",[1]Raw_HS8480_AllMoulds!$A$2:$A$78,0),24)</f>
        <v>64670218</v>
      </c>
      <c r="E14" s="29">
        <f t="shared" si="0"/>
        <v>7.0784592179922168E-2</v>
      </c>
      <c r="F14" s="29">
        <f t="shared" si="1"/>
        <v>0.15817806269082846</v>
      </c>
      <c r="G14" s="29">
        <f>D14/INDEX([1]Raw_HS8480_AllMoulds!$B$2:$Y$78,MATCH("All Geographic Regions (World Total)",[1]Raw_HS8480_AllMoulds!$A$2:$A$78,0),24)</f>
        <v>2.824106953522789E-2</v>
      </c>
    </row>
    <row r="15" spans="1:7" x14ac:dyDescent="0.45">
      <c r="A15" s="24" t="s">
        <v>108</v>
      </c>
      <c r="B15" s="25">
        <f>INDEX([1]Raw_HS8480_AllMoulds!$B$2:$Y$78,MATCH("Austria",[1]Raw_HS8480_AllMoulds!$A$2:$A$78,0),14)</f>
        <v>26649289</v>
      </c>
      <c r="C15" s="25">
        <f>INDEX([1]Raw_HS8480_AllMoulds!$B$2:$Y$78,MATCH("Austria",[1]Raw_HS8480_AllMoulds!$A$2:$A$78,0),19)</f>
        <v>34059656</v>
      </c>
      <c r="D15" s="25">
        <f>INDEX([1]Raw_HS8480_AllMoulds!$B$2:$Y$78,MATCH("Austria",[1]Raw_HS8480_AllMoulds!$A$2:$A$78,0),24)</f>
        <v>52767204</v>
      </c>
      <c r="E15" s="26">
        <f t="shared" si="0"/>
        <v>7.0700105834537785E-2</v>
      </c>
      <c r="F15" s="26">
        <f t="shared" si="1"/>
        <v>9.1502576153582815E-2</v>
      </c>
      <c r="G15" s="26">
        <f>D15/INDEX([1]Raw_HS8480_AllMoulds!$B$2:$Y$78,MATCH("All Geographic Regions (World Total)",[1]Raw_HS8480_AllMoulds!$A$2:$A$78,0),24)</f>
        <v>2.3043099643541565E-2</v>
      </c>
    </row>
    <row r="16" spans="1:7" x14ac:dyDescent="0.45">
      <c r="A16" s="27" t="s">
        <v>158</v>
      </c>
      <c r="B16" s="28">
        <f>INDEX([1]Raw_HS8480_AllMoulds!$B$2:$Y$78,MATCH("Switzerland",[1]Raw_HS8480_AllMoulds!$A$2:$A$78,0),14)</f>
        <v>14640929</v>
      </c>
      <c r="C16" s="28">
        <f>INDEX([1]Raw_HS8480_AllMoulds!$B$2:$Y$78,MATCH("Switzerland",[1]Raw_HS8480_AllMoulds!$A$2:$A$78,0),19)</f>
        <v>21557133</v>
      </c>
      <c r="D16" s="28">
        <f>INDEX([1]Raw_HS8480_AllMoulds!$B$2:$Y$78,MATCH("Switzerland",[1]Raw_HS8480_AllMoulds!$A$2:$A$78,0),24)</f>
        <v>28623680</v>
      </c>
      <c r="E16" s="29">
        <f t="shared" si="0"/>
        <v>6.933968210270347E-2</v>
      </c>
      <c r="F16" s="29">
        <f t="shared" si="1"/>
        <v>5.8344100750657102E-2</v>
      </c>
      <c r="G16" s="29">
        <f>D16/INDEX([1]Raw_HS8480_AllMoulds!$B$2:$Y$78,MATCH("All Geographic Regions (World Total)",[1]Raw_HS8480_AllMoulds!$A$2:$A$78,0),24)</f>
        <v>1.2499777520992923E-2</v>
      </c>
    </row>
    <row r="17" spans="1:7" x14ac:dyDescent="0.45">
      <c r="A17" s="24" t="s">
        <v>155</v>
      </c>
      <c r="B17" s="25">
        <f>INDEX([1]Raw_HS8480_AllMoulds!$B$2:$Y$78,MATCH("Spain",[1]Raw_HS8480_AllMoulds!$A$2:$A$78,0),14)</f>
        <v>12101133</v>
      </c>
      <c r="C17" s="25">
        <f>INDEX([1]Raw_HS8480_AllMoulds!$B$2:$Y$78,MATCH("Spain",[1]Raw_HS8480_AllMoulds!$A$2:$A$78,0),19)</f>
        <v>12049223</v>
      </c>
      <c r="D17" s="25">
        <f>INDEX([1]Raw_HS8480_AllMoulds!$B$2:$Y$78,MATCH("Spain",[1]Raw_HS8480_AllMoulds!$A$2:$A$78,0),24)</f>
        <v>22832270</v>
      </c>
      <c r="E17" s="26">
        <f t="shared" si="0"/>
        <v>6.5546251804248445E-2</v>
      </c>
      <c r="F17" s="26">
        <f t="shared" si="1"/>
        <v>0.13636542093170601</v>
      </c>
      <c r="G17" s="26">
        <f>D17/INDEX([1]Raw_HS8480_AllMoulds!$B$2:$Y$78,MATCH("All Geographic Regions (World Total)",[1]Raw_HS8480_AllMoulds!$A$2:$A$78,0),24)</f>
        <v>9.9707059085079579E-3</v>
      </c>
    </row>
    <row r="18" spans="1:7" x14ac:dyDescent="0.45">
      <c r="A18" s="27" t="s">
        <v>114</v>
      </c>
      <c r="B18" s="28">
        <f>INDEX([1]Raw_HS8480_AllMoulds!$B$2:$Y$78,MATCH("Croatia",[1]Raw_HS8480_AllMoulds!$A$2:$A$78,0),14)</f>
        <v>13845205</v>
      </c>
      <c r="C18" s="28">
        <f>INDEX([1]Raw_HS8480_AllMoulds!$B$2:$Y$78,MATCH("Croatia",[1]Raw_HS8480_AllMoulds!$A$2:$A$78,0),19)</f>
        <v>20382952</v>
      </c>
      <c r="D18" s="28">
        <f>INDEX([1]Raw_HS8480_AllMoulds!$B$2:$Y$78,MATCH("Croatia",[1]Raw_HS8480_AllMoulds!$A$2:$A$78,0),24)</f>
        <v>21410325</v>
      </c>
      <c r="E18" s="29">
        <f t="shared" si="0"/>
        <v>4.4557584753368351E-2</v>
      </c>
      <c r="F18" s="29">
        <f t="shared" si="1"/>
        <v>9.8834048256972729E-3</v>
      </c>
      <c r="G18" s="29">
        <f>D18/INDEX([1]Raw_HS8480_AllMoulds!$B$2:$Y$78,MATCH("All Geographic Regions (World Total)",[1]Raw_HS8480_AllMoulds!$A$2:$A$78,0),24)</f>
        <v>9.3497516445178539E-3</v>
      </c>
    </row>
    <row r="19" spans="1:7" x14ac:dyDescent="0.45">
      <c r="A19" s="24" t="s">
        <v>130</v>
      </c>
      <c r="B19" s="25">
        <f>INDEX([1]Raw_HS8480_AllMoulds!$B$2:$Y$78,MATCH("Italy",[1]Raw_HS8480_AllMoulds!$A$2:$A$78,0),14)</f>
        <v>53950664</v>
      </c>
      <c r="C19" s="25">
        <f>INDEX([1]Raw_HS8480_AllMoulds!$B$2:$Y$78,MATCH("Italy",[1]Raw_HS8480_AllMoulds!$A$2:$A$78,0),19)</f>
        <v>57934604</v>
      </c>
      <c r="D19" s="25">
        <f>INDEX([1]Raw_HS8480_AllMoulds!$B$2:$Y$78,MATCH("Italy",[1]Raw_HS8480_AllMoulds!$A$2:$A$78,0),24)</f>
        <v>75361359</v>
      </c>
      <c r="E19" s="26">
        <f t="shared" si="0"/>
        <v>3.398727188596129E-2</v>
      </c>
      <c r="F19" s="26">
        <f t="shared" si="1"/>
        <v>5.4003700762786933E-2</v>
      </c>
      <c r="G19" s="26">
        <f>D19/INDEX([1]Raw_HS8480_AllMoulds!$B$2:$Y$78,MATCH("All Geographic Regions (World Total)",[1]Raw_HS8480_AllMoulds!$A$2:$A$78,0),24)</f>
        <v>3.2909822258342665E-2</v>
      </c>
    </row>
    <row r="20" spans="1:7" x14ac:dyDescent="0.45">
      <c r="A20" s="27" t="s">
        <v>116</v>
      </c>
      <c r="B20" s="28">
        <f>INDEX([1]Raw_HS8480_AllMoulds!$B$2:$Y$78,MATCH("Czech Republic",[1]Raw_HS8480_AllMoulds!$A$2:$A$78,0),14)</f>
        <v>7467790</v>
      </c>
      <c r="C20" s="28">
        <f>INDEX([1]Raw_HS8480_AllMoulds!$B$2:$Y$78,MATCH("Czech Republic",[1]Raw_HS8480_AllMoulds!$A$2:$A$78,0),19)</f>
        <v>6707653</v>
      </c>
      <c r="D20" s="28">
        <f>INDEX([1]Raw_HS8480_AllMoulds!$B$2:$Y$78,MATCH("Czech Republic",[1]Raw_HS8480_AllMoulds!$A$2:$A$78,0),24)</f>
        <v>9534538</v>
      </c>
      <c r="E20" s="29">
        <f t="shared" si="0"/>
        <v>2.4733079004744862E-2</v>
      </c>
      <c r="F20" s="29">
        <f t="shared" si="1"/>
        <v>7.2866817467877487E-2</v>
      </c>
      <c r="G20" s="29">
        <f>D20/INDEX([1]Raw_HS8480_AllMoulds!$B$2:$Y$78,MATCH("All Geographic Regions (World Total)",[1]Raw_HS8480_AllMoulds!$A$2:$A$78,0),24)</f>
        <v>4.1636716091520316E-3</v>
      </c>
    </row>
    <row r="21" spans="1:7" x14ac:dyDescent="0.45">
      <c r="A21" s="24" t="s">
        <v>124</v>
      </c>
      <c r="B21" s="25">
        <f>INDEX([1]Raw_HS8480_AllMoulds!$B$2:$Y$78,MATCH("Germany",[1]Raw_HS8480_AllMoulds!$A$2:$A$78,0),14)</f>
        <v>158363520</v>
      </c>
      <c r="C21" s="25">
        <f>INDEX([1]Raw_HS8480_AllMoulds!$B$2:$Y$78,MATCH("Germany",[1]Raw_HS8480_AllMoulds!$A$2:$A$78,0),19)</f>
        <v>152994621</v>
      </c>
      <c r="D21" s="25">
        <f>INDEX([1]Raw_HS8480_AllMoulds!$B$2:$Y$78,MATCH("Germany",[1]Raw_HS8480_AllMoulds!$A$2:$A$78,0),24)</f>
        <v>189701442</v>
      </c>
      <c r="E21" s="26">
        <f t="shared" si="0"/>
        <v>1.8219824923824346E-2</v>
      </c>
      <c r="F21" s="26">
        <f t="shared" si="1"/>
        <v>4.3948065877752462E-2</v>
      </c>
      <c r="G21" s="26">
        <f>D21/INDEX([1]Raw_HS8480_AllMoulds!$B$2:$Y$78,MATCH("All Geographic Regions (World Total)",[1]Raw_HS8480_AllMoulds!$A$2:$A$78,0),24)</f>
        <v>8.2841403355946641E-2</v>
      </c>
    </row>
    <row r="22" spans="1:7" x14ac:dyDescent="0.45">
      <c r="A22" s="27" t="s">
        <v>164</v>
      </c>
      <c r="B22" s="28">
        <f>INDEX([1]Raw_HS8480_AllMoulds!$B$2:$Y$78,MATCH("United Kingdom",[1]Raw_HS8480_AllMoulds!$A$2:$A$78,0),14)</f>
        <v>23606797</v>
      </c>
      <c r="C22" s="28">
        <f>INDEX([1]Raw_HS8480_AllMoulds!$B$2:$Y$78,MATCH("United Kingdom",[1]Raw_HS8480_AllMoulds!$A$2:$A$78,0),19)</f>
        <v>20152003</v>
      </c>
      <c r="D22" s="28">
        <f>INDEX([1]Raw_HS8480_AllMoulds!$B$2:$Y$78,MATCH("United Kingdom",[1]Raw_HS8480_AllMoulds!$A$2:$A$78,0),24)</f>
        <v>26276700</v>
      </c>
      <c r="E22" s="29">
        <f t="shared" si="0"/>
        <v>1.0772402564672046E-2</v>
      </c>
      <c r="F22" s="29">
        <f t="shared" si="1"/>
        <v>5.4509558527595647E-2</v>
      </c>
      <c r="G22" s="29">
        <f>D22/INDEX([1]Raw_HS8480_AllMoulds!$B$2:$Y$78,MATCH("All Geographic Regions (World Total)",[1]Raw_HS8480_AllMoulds!$A$2:$A$78,0),24)</f>
        <v>1.1474866403826299E-2</v>
      </c>
    </row>
    <row r="23" spans="1:7" x14ac:dyDescent="0.45">
      <c r="A23" s="24" t="s">
        <v>8</v>
      </c>
      <c r="B23" s="25">
        <f>INDEX([1]Raw_HS8480_AllMoulds!$B$2:$Y$78,MATCH("Korea, South",[1]Raw_HS8480_AllMoulds!$A$2:$A$78,0),14)</f>
        <v>122556735</v>
      </c>
      <c r="C23" s="25">
        <f>INDEX([1]Raw_HS8480_AllMoulds!$B$2:$Y$78,MATCH("Korea, South",[1]Raw_HS8480_AllMoulds!$A$2:$A$78,0),19)</f>
        <v>189247616</v>
      </c>
      <c r="D23" s="25">
        <f>INDEX([1]Raw_HS8480_AllMoulds!$B$2:$Y$78,MATCH("Korea, South",[1]Raw_HS8480_AllMoulds!$A$2:$A$78,0),24)</f>
        <v>128854837</v>
      </c>
      <c r="E23" s="26">
        <f t="shared" si="0"/>
        <v>5.0238183233515254E-3</v>
      </c>
      <c r="F23" s="26">
        <f t="shared" si="1"/>
        <v>-7.3993443395993785E-2</v>
      </c>
      <c r="G23" s="26">
        <f>D23/INDEX([1]Raw_HS8480_AllMoulds!$B$2:$Y$78,MATCH("All Geographic Regions (World Total)",[1]Raw_HS8480_AllMoulds!$A$2:$A$78,0),24)</f>
        <v>5.6270081100816077E-2</v>
      </c>
    </row>
    <row r="24" spans="1:7" x14ac:dyDescent="0.45">
      <c r="A24" s="27" t="s">
        <v>169</v>
      </c>
      <c r="B24" s="28">
        <f>INDEX([1]Raw_HS8480_AllMoulds!$B$2:$Y$78,MATCH("Canada",[1]Raw_HS8480_AllMoulds!$A$2:$A$78,0),14)</f>
        <v>876339577</v>
      </c>
      <c r="C24" s="28">
        <f>INDEX([1]Raw_HS8480_AllMoulds!$B$2:$Y$78,MATCH("Canada",[1]Raw_HS8480_AllMoulds!$A$2:$A$78,0),19)</f>
        <v>830452511</v>
      </c>
      <c r="D24" s="28">
        <f>INDEX([1]Raw_HS8480_AllMoulds!$B$2:$Y$78,MATCH("Canada",[1]Raw_HS8480_AllMoulds!$A$2:$A$78,0),24)</f>
        <v>847925312</v>
      </c>
      <c r="E24" s="29">
        <f t="shared" si="0"/>
        <v>-3.290684227161611E-3</v>
      </c>
      <c r="F24" s="29">
        <f t="shared" si="1"/>
        <v>4.1730450523120854E-3</v>
      </c>
      <c r="G24" s="29">
        <f>D24/INDEX([1]Raw_HS8480_AllMoulds!$B$2:$Y$78,MATCH("All Geographic Regions (World Total)",[1]Raw_HS8480_AllMoulds!$A$2:$A$78,0),24)</f>
        <v>0.37028354685416098</v>
      </c>
    </row>
    <row r="25" spans="1:7" x14ac:dyDescent="0.45">
      <c r="A25" s="24" t="s">
        <v>122</v>
      </c>
      <c r="B25" s="25">
        <f>INDEX([1]Raw_HS8480_AllMoulds!$B$2:$Y$78,MATCH("France",[1]Raw_HS8480_AllMoulds!$A$2:$A$78,0),14)</f>
        <v>28132452</v>
      </c>
      <c r="C25" s="25">
        <f>INDEX([1]Raw_HS8480_AllMoulds!$B$2:$Y$78,MATCH("France",[1]Raw_HS8480_AllMoulds!$A$2:$A$78,0),19)</f>
        <v>29217151</v>
      </c>
      <c r="D25" s="25">
        <f>INDEX([1]Raw_HS8480_AllMoulds!$B$2:$Y$78,MATCH("France",[1]Raw_HS8480_AllMoulds!$A$2:$A$78,0),24)</f>
        <v>24343826</v>
      </c>
      <c r="E25" s="26">
        <f t="shared" si="0"/>
        <v>-1.4360442976409926E-2</v>
      </c>
      <c r="F25" s="26">
        <f t="shared" si="1"/>
        <v>-3.583759338410597E-2</v>
      </c>
      <c r="G25" s="26">
        <f>D25/INDEX([1]Raw_HS8480_AllMoulds!$B$2:$Y$78,MATCH("All Geographic Regions (World Total)",[1]Raw_HS8480_AllMoulds!$A$2:$A$78,0),24)</f>
        <v>1.0630792721612423E-2</v>
      </c>
    </row>
    <row r="26" spans="1:7" x14ac:dyDescent="0.45">
      <c r="A26" s="27" t="s">
        <v>11</v>
      </c>
      <c r="B26" s="28">
        <f>INDEX([1]Raw_HS8480_AllMoulds!$B$2:$Y$78,MATCH("Singapore",[1]Raw_HS8480_AllMoulds!$A$2:$A$78,0),14)</f>
        <v>9679541</v>
      </c>
      <c r="C26" s="28">
        <f>INDEX([1]Raw_HS8480_AllMoulds!$B$2:$Y$78,MATCH("Singapore",[1]Raw_HS8480_AllMoulds!$A$2:$A$78,0),19)</f>
        <v>9003908</v>
      </c>
      <c r="D26" s="28">
        <f>INDEX([1]Raw_HS8480_AllMoulds!$B$2:$Y$78,MATCH("Singapore",[1]Raw_HS8480_AllMoulds!$A$2:$A$78,0),24)</f>
        <v>8085336</v>
      </c>
      <c r="E26" s="29">
        <f t="shared" si="0"/>
        <v>-1.7835277872019661E-2</v>
      </c>
      <c r="F26" s="29">
        <f t="shared" si="1"/>
        <v>-2.1291399528761801E-2</v>
      </c>
      <c r="G26" s="29">
        <f>D26/INDEX([1]Raw_HS8480_AllMoulds!$B$2:$Y$78,MATCH("All Geographic Regions (World Total)",[1]Raw_HS8480_AllMoulds!$A$2:$A$78,0),24)</f>
        <v>3.5308143880337832E-3</v>
      </c>
    </row>
    <row r="27" spans="1:7" x14ac:dyDescent="0.45">
      <c r="A27" s="24" t="s">
        <v>12</v>
      </c>
      <c r="B27" s="25">
        <f>INDEX([1]Raw_HS8480_AllMoulds!$B$2:$Y$78,MATCH("Taiwan",[1]Raw_HS8480_AllMoulds!$A$2:$A$78,0),14)</f>
        <v>47266929</v>
      </c>
      <c r="C27" s="25">
        <f>INDEX([1]Raw_HS8480_AllMoulds!$B$2:$Y$78,MATCH("Taiwan",[1]Raw_HS8480_AllMoulds!$A$2:$A$78,0),19)</f>
        <v>46687121</v>
      </c>
      <c r="D27" s="25">
        <f>INDEX([1]Raw_HS8480_AllMoulds!$B$2:$Y$78,MATCH("Taiwan",[1]Raw_HS8480_AllMoulds!$A$2:$A$78,0),24)</f>
        <v>38822567</v>
      </c>
      <c r="E27" s="26">
        <f t="shared" si="0"/>
        <v>-1.9488512469677977E-2</v>
      </c>
      <c r="F27" s="26">
        <f t="shared" si="1"/>
        <v>-3.622106263826963E-2</v>
      </c>
      <c r="G27" s="26">
        <f>D27/INDEX([1]Raw_HS8480_AllMoulds!$B$2:$Y$78,MATCH("All Geographic Regions (World Total)",[1]Raw_HS8480_AllMoulds!$A$2:$A$78,0),24)</f>
        <v>1.6953566078639841E-2</v>
      </c>
    </row>
    <row r="28" spans="1:7" x14ac:dyDescent="0.45">
      <c r="A28" s="27" t="s">
        <v>7</v>
      </c>
      <c r="B28" s="28">
        <f>INDEX([1]Raw_HS8480_AllMoulds!$B$2:$Y$78,MATCH("Japan",[1]Raw_HS8480_AllMoulds!$A$2:$A$78,0),14)</f>
        <v>166110469</v>
      </c>
      <c r="C28" s="28">
        <f>INDEX([1]Raw_HS8480_AllMoulds!$B$2:$Y$78,MATCH("Japan",[1]Raw_HS8480_AllMoulds!$A$2:$A$78,0),19)</f>
        <v>168458965</v>
      </c>
      <c r="D28" s="28">
        <f>INDEX([1]Raw_HS8480_AllMoulds!$B$2:$Y$78,MATCH("Japan",[1]Raw_HS8480_AllMoulds!$A$2:$A$78,0),24)</f>
        <v>133035956</v>
      </c>
      <c r="E28" s="29">
        <f t="shared" si="0"/>
        <v>-2.1958680182813772E-2</v>
      </c>
      <c r="F28" s="29">
        <f t="shared" si="1"/>
        <v>-4.6117280175468567E-2</v>
      </c>
      <c r="G28" s="29">
        <f>D28/INDEX([1]Raw_HS8480_AllMoulds!$B$2:$Y$78,MATCH("All Geographic Regions (World Total)",[1]Raw_HS8480_AllMoulds!$A$2:$A$78,0),24)</f>
        <v>5.8095948958785296E-2</v>
      </c>
    </row>
    <row r="29" spans="1:7" x14ac:dyDescent="0.45">
      <c r="A29" s="24" t="s">
        <v>4</v>
      </c>
      <c r="B29" s="25">
        <f>INDEX([1]Raw_HS8480_AllMoulds!$B$2:$Y$78,MATCH("China",[1]Raw_HS8480_AllMoulds!$A$2:$A$78,0),14)</f>
        <v>470840955</v>
      </c>
      <c r="C29" s="25">
        <f>INDEX([1]Raw_HS8480_AllMoulds!$B$2:$Y$78,MATCH("China",[1]Raw_HS8480_AllMoulds!$A$2:$A$78,0),19)</f>
        <v>402696976</v>
      </c>
      <c r="D29" s="25">
        <f>INDEX([1]Raw_HS8480_AllMoulds!$B$2:$Y$78,MATCH("China",[1]Raw_HS8480_AllMoulds!$A$2:$A$78,0),24)</f>
        <v>352766466</v>
      </c>
      <c r="E29" s="26">
        <f t="shared" si="0"/>
        <v>-2.8458612401505601E-2</v>
      </c>
      <c r="F29" s="26">
        <f t="shared" si="1"/>
        <v>-2.6128211496890819E-2</v>
      </c>
      <c r="G29" s="26">
        <f>D29/INDEX([1]Raw_HS8480_AllMoulds!$B$2:$Y$78,MATCH("All Geographic Regions (World Total)",[1]Raw_HS8480_AllMoulds!$A$2:$A$78,0),24)</f>
        <v>0.15405085376397842</v>
      </c>
    </row>
    <row r="30" spans="1:7" x14ac:dyDescent="0.45">
      <c r="A30" s="27" t="s">
        <v>118</v>
      </c>
      <c r="B30" s="28">
        <f>INDEX([1]Raw_HS8480_AllMoulds!$B$2:$Y$78,MATCH("Denmark",[1]Raw_HS8480_AllMoulds!$A$2:$A$78,0),14)</f>
        <v>13080435</v>
      </c>
      <c r="C30" s="28">
        <f>INDEX([1]Raw_HS8480_AllMoulds!$B$2:$Y$78,MATCH("Denmark",[1]Raw_HS8480_AllMoulds!$A$2:$A$78,0),19)</f>
        <v>8168199</v>
      </c>
      <c r="D30" s="28">
        <f>INDEX([1]Raw_HS8480_AllMoulds!$B$2:$Y$78,MATCH("Denmark",[1]Raw_HS8480_AllMoulds!$A$2:$A$78,0),24)</f>
        <v>5946641</v>
      </c>
      <c r="E30" s="29">
        <f t="shared" si="0"/>
        <v>-7.5802151032899112E-2</v>
      </c>
      <c r="F30" s="29">
        <f t="shared" si="1"/>
        <v>-6.1511225674106496E-2</v>
      </c>
      <c r="G30" s="29">
        <f>D30/INDEX([1]Raw_HS8480_AllMoulds!$B$2:$Y$78,MATCH("All Geographic Regions (World Total)",[1]Raw_HS8480_AllMoulds!$A$2:$A$78,0),24)</f>
        <v>2.5968599948439502E-3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HS8480 - all mold</vt:lpstr>
      <vt:lpstr>HS8480.71 - Rubber&amp;Plastic Mold</vt:lpstr>
      <vt:lpstr>Summary</vt:lpstr>
      <vt:lpstr>Analysis</vt:lpstr>
      <vt:lpstr>China+1_Analysis</vt:lpstr>
      <vt:lpstr>Momentum_AllMoulds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Go, LiangSin [EMR/MSOL/SNG]</dc:creator>
  <cp:lastModifiedBy>Go, Liang (DI FA CTR OEC EOM)</cp:lastModifiedBy>
  <dcterms:created xsi:type="dcterms:W3CDTF">2026-06-29T08:04:59Z</dcterms:created>
  <dcterms:modified xsi:type="dcterms:W3CDTF">2026-06-29T13:25:56Z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2026-06-29T08:07:46Z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d4f71f55-000c-432b-974e-026bf7b29ed0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