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Y_by_Destination" sheetId="2" state="visible" r:id="rId4"/>
    <sheet name="Reconciliation" sheetId="3" state="visible" r:id="rId5"/>
    <sheet name="Raw_MY_exports" sheetId="4" state="visible" r:id="rId6"/>
    <sheet name="Raw_partner_impo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<sst xmlns="http://schemas.openxmlformats.org/spreadsheetml/2006/main" count="53" uniqueCount="42">
  <si>
    <t xml:space="preserve">Malaysia Mould Exports — Supply-Side View &amp; Reconciliation</t>
  </si>
  <si>
    <t xml:space="preserve">HS 8480 · DOSM export data (MYR) · tied to US-import (analysis 1) and EU-import (analysis 2) datasets</t>
  </si>
  <si>
    <t xml:space="preserve">  Key findings — how the supply side ties to the two demand-side analyses</t>
  </si>
  <si>
    <t xml:space="preserve">1.  Singapore is Malaysia's #1 mould destination by far (38–77% of listed exports), but it's a re-export/consolidation hub and flat — much is intermediated onward, not final demand. Echoes the Netherlands re-export flag in the US data.</t>
  </si>
  <si>
    <t xml:space="preserve">2.  China and the US are Malaysia's real growth destinations. Exports to the US roughly tripled 2018→2024 (RM17M→RM75M); exports to China surged even more (RM16M→RM111M). Both peaked in 2024 and eased in 2025.</t>
  </si>
  <si>
    <t xml:space="preserve">3.  US mirror check: Malaysia reports ~1.4× more mould exports to the US than the US attributes to Malaysian origin (ratio 1.1–1.8×). Both series climb together — so Malaysia's US gain is MOSTLY genuine Malaysian production, with a modest re-export/pass-through sliver.</t>
  </si>
  <si>
    <t xml:space="preserve">4.  This tempers the earlier caution: Malaysia's US momentum is real capacity, not just routing — though volatile (2024 spike, 2025 pullback) and partly hub-intermediated, so less steady than Vietnam's broader-based growth.</t>
  </si>
  <si>
    <t xml:space="preserve">5.  EU mirror check is inconclusive from this extract (Netherlands and other EU destinations missing; much EU-bound flow likely routes via Singapore). Consistent with analysis 2: Malaysia is small and losing in the EU.</t>
  </si>
  <si>
    <t xml:space="preserve">6.  Two-way trade with China: Malaysia is also a large, growing mould EXPORTER to China (RM76M in 2025) — the region is supply-chain-integrated, so 'China vs SE Asia' is not purely adversarial.</t>
  </si>
  <si>
    <t xml:space="preserve">Takeaway: the US demand pull (analysis 1) is matched by genuine, growing Malaysian supply (this file) — both sides confirm a real US–Malaysia mould corridor. Vet suppliers for true origin (avoid re-export intermediaries); anchor demand on US buyers; treat Singapore-routed flow with care.</t>
  </si>
  <si>
    <t xml:space="preserve">Malaysia's HS 8480 mould exports by destination</t>
  </si>
  <si>
    <t xml:space="preserve">Value (MYR), share of listed destinations, and CAGR — live formulas. 2026 excluded (partial year).</t>
  </si>
  <si>
    <t xml:space="preserve">Destination</t>
  </si>
  <si>
    <t xml:space="preserve">Share 2025</t>
  </si>
  <si>
    <t xml:space="preserve">CAGR 18–24</t>
  </si>
  <si>
    <t xml:space="preserve">Singapore</t>
  </si>
  <si>
    <t xml:space="preserve">China</t>
  </si>
  <si>
    <t xml:space="preserve">United States</t>
  </si>
  <si>
    <t xml:space="preserve">Germany</t>
  </si>
  <si>
    <t xml:space="preserve">United Kingdom</t>
  </si>
  <si>
    <t xml:space="preserve">Italy</t>
  </si>
  <si>
    <t xml:space="preserve">France</t>
  </si>
  <si>
    <t xml:space="preserve">Canada</t>
  </si>
  <si>
    <t xml:space="preserve">Ireland</t>
  </si>
  <si>
    <t xml:space="preserve">Total (listed)</t>
  </si>
  <si>
    <t xml:space="preserve">Mirror check: Malaysia-reported exports vs partner-reported imports</t>
  </si>
  <si>
    <t xml:space="preserve">Malaysia FOB (MYR→USD/EUR) vs US customs-value &amp; EU CIF (origin-based). Ratio &gt;1 ⇒ Malaysia reports more than partner attributes to Malaysian origin (re-export signal).</t>
  </si>
  <si>
    <t xml:space="preserve">UNITED STATES</t>
  </si>
  <si>
    <t xml:space="preserve">Metric</t>
  </si>
  <si>
    <t xml:space="preserve">Malaysia exports→US (USD M)</t>
  </si>
  <si>
    <t xml:space="preserve">US imports←Malaysia (USD M)</t>
  </si>
  <si>
    <t xml:space="preserve">Ratio (MY / US)</t>
  </si>
  <si>
    <t xml:space="preserve">EUROPEAN UNION (listed EU dests only: FR, DE, IE, IT — incomplete)</t>
  </si>
  <si>
    <t xml:space="preserve">Malaysia exports→EU4 (EUR M)</t>
  </si>
  <si>
    <t xml:space="preserve">EU imports←Malaysia total (EUR M)</t>
  </si>
  <si>
    <t xml:space="preserve">DOSM/OpenDOSM, exports FOB, MYR, by destination. 2026 = partial (YTD). Curated 9-destination extract, not total world.</t>
  </si>
  <si>
    <t xml:space="preserve">Series</t>
  </si>
  <si>
    <t xml:space="preserve">US imports from Malaysia (USD)</t>
  </si>
  <si>
    <t xml:space="preserve">EU imports from Malaysia (EUR)</t>
  </si>
  <si>
    <t xml:space="preserve">FX: MYR per USD</t>
  </si>
  <si>
    <t xml:space="preserve">FX: MYR per EUR</t>
  </si>
  <si>
    <t xml:space="preserve">FX = approx. annual-average rates. US=US Census customs value; EU=Eurostat Comext.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</si>
</sst>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,,\M;\(#,##0,,&quot;)M&quot;;\–"/>
    <numFmt numFmtId="167" formatCode="0.0%;\(0.0%\);\–"/>
    <numFmt numFmtId="168" formatCode="#,##0.0"/>
    <numFmt numFmtId="169" formatCode="0.00\×"/>
    <numFmt numFmtId="170" formatCode="#,##0"/>
    <numFmt numFmtId="171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2F5FB"/>
        <bgColor rgb="FFFFFFFF"/>
      </patternFill>
    </fill>
    <fill>
      <patternFill patternType="solid">
        <fgColor rgb="FFDFE5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B"/>
      <rgbColor rgb="FFDFE5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31.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31.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0" customFormat="false" ht="31.5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</row>
    <row r="11" customFormat="false" ht="31.5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</row>
  </sheetData>
  <mergeCells count="10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5" t="s">
        <v>12</v>
      </c>
      <c r="B4" s="6" t="n">
        <v>2017</v>
      </c>
      <c r="C4" s="6" t="n">
        <v>2018</v>
      </c>
      <c r="D4" s="6" t="n">
        <v>2020</v>
      </c>
      <c r="E4" s="6" t="n">
        <v>2022</v>
      </c>
      <c r="F4" s="6" t="n">
        <v>2023</v>
      </c>
      <c r="G4" s="6" t="n">
        <v>2024</v>
      </c>
      <c r="H4" s="6" t="n">
        <v>2025</v>
      </c>
      <c r="I4" s="5" t="s">
        <v>13</v>
      </c>
      <c r="J4" s="5" t="s">
        <v>14</v>
      </c>
    </row>
    <row r="5" customFormat="false" ht="15" hidden="false" customHeight="false" outlineLevel="0" collapsed="false">
      <c r="A5" s="7" t="s">
        <v>15</v>
      </c>
      <c r="B5" s="8" t="n">
        <f aca="false">INDEX(Raw_MY_exports!$B$2:$K$10,MATCH("Singapore",Raw_MY_exports!$A$2:$A$10,0),1)</f>
        <v>144767154</v>
      </c>
      <c r="C5" s="8" t="n">
        <f aca="false">INDEX(Raw_MY_exports!$B$2:$K$10,MATCH("Singapore",Raw_MY_exports!$A$2:$A$10,0),2)</f>
        <v>126085058</v>
      </c>
      <c r="D5" s="8" t="n">
        <f aca="false">INDEX(Raw_MY_exports!$B$2:$K$10,MATCH("Singapore",Raw_MY_exports!$A$2:$A$10,0),4)</f>
        <v>115305165</v>
      </c>
      <c r="E5" s="8" t="n">
        <f aca="false">INDEX(Raw_MY_exports!$B$2:$K$10,MATCH("Singapore",Raw_MY_exports!$A$2:$A$10,0),6)</f>
        <v>121394800</v>
      </c>
      <c r="F5" s="8" t="n">
        <f aca="false">INDEX(Raw_MY_exports!$B$2:$K$10,MATCH("Singapore",Raw_MY_exports!$A$2:$A$10,0),7)</f>
        <v>124535632</v>
      </c>
      <c r="G5" s="8" t="n">
        <f aca="false">INDEX(Raw_MY_exports!$B$2:$K$10,MATCH("Singapore",Raw_MY_exports!$A$2:$A$10,0),8)</f>
        <v>121766260</v>
      </c>
      <c r="H5" s="8" t="n">
        <f aca="false">INDEX(Raw_MY_exports!$B$2:$K$10,MATCH("Singapore",Raw_MY_exports!$A$2:$A$10,0),9)</f>
        <v>123811836</v>
      </c>
      <c r="I5" s="9" t="n">
        <f aca="false">INDEX(Raw_MY_exports!$B$2:$K$10,MATCH("Singapore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0.458804975024904</v>
      </c>
      <c r="J5" s="9" t="n">
        <f aca="false">IFERROR((INDEX(Raw_MY_exports!$B$2:$K$10,MATCH("Singapore",Raw_MY_exports!$A$2:$A$10,0),8)/INDEX(Raw_MY_exports!$B$2:$K$10,MATCH("Singapore",Raw_MY_exports!$A$2:$A$10,0),2))^(1/6)-1,"–")</f>
        <v>-0.00579206713959435</v>
      </c>
    </row>
    <row r="6" customFormat="false" ht="15" hidden="false" customHeight="false" outlineLevel="0" collapsed="false">
      <c r="A6" s="10" t="s">
        <v>16</v>
      </c>
      <c r="B6" s="11" t="n">
        <f aca="false">INDEX(Raw_MY_exports!$B$2:$K$10,MATCH("China",Raw_MY_exports!$A$2:$A$10,0),1)</f>
        <v>22509809</v>
      </c>
      <c r="C6" s="11" t="n">
        <f aca="false">INDEX(Raw_MY_exports!$B$2:$K$10,MATCH("China",Raw_MY_exports!$A$2:$A$10,0),2)</f>
        <v>16076326</v>
      </c>
      <c r="D6" s="11" t="n">
        <f aca="false">INDEX(Raw_MY_exports!$B$2:$K$10,MATCH("China",Raw_MY_exports!$A$2:$A$10,0),4)</f>
        <v>30924805</v>
      </c>
      <c r="E6" s="11" t="n">
        <f aca="false">INDEX(Raw_MY_exports!$B$2:$K$10,MATCH("China",Raw_MY_exports!$A$2:$A$10,0),6)</f>
        <v>43201604</v>
      </c>
      <c r="F6" s="11" t="n">
        <f aca="false">INDEX(Raw_MY_exports!$B$2:$K$10,MATCH("China",Raw_MY_exports!$A$2:$A$10,0),7)</f>
        <v>57166395</v>
      </c>
      <c r="G6" s="11" t="n">
        <f aca="false">INDEX(Raw_MY_exports!$B$2:$K$10,MATCH("China",Raw_MY_exports!$A$2:$A$10,0),8)</f>
        <v>110719913</v>
      </c>
      <c r="H6" s="11" t="n">
        <f aca="false">INDEX(Raw_MY_exports!$B$2:$K$10,MATCH("China",Raw_MY_exports!$A$2:$A$10,0),9)</f>
        <v>75767487</v>
      </c>
      <c r="I6" s="12" t="n">
        <f aca="false">INDEX(Raw_MY_exports!$B$2:$K$10,MATCH("China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0.280768794840703</v>
      </c>
      <c r="J6" s="12" t="n">
        <f aca="false">IFERROR((INDEX(Raw_MY_exports!$B$2:$K$10,MATCH("China",Raw_MY_exports!$A$2:$A$10,0),8)/INDEX(Raw_MY_exports!$B$2:$K$10,MATCH("China",Raw_MY_exports!$A$2:$A$10,0),2))^(1/6)-1,"–")</f>
        <v>0.37934579500285</v>
      </c>
    </row>
    <row r="7" customFormat="false" ht="15" hidden="false" customHeight="false" outlineLevel="0" collapsed="false">
      <c r="A7" s="7" t="s">
        <v>17</v>
      </c>
      <c r="B7" s="8" t="n">
        <f aca="false">INDEX(Raw_MY_exports!$B$2:$K$10,MATCH("United States",Raw_MY_exports!$A$2:$A$10,0),1)</f>
        <v>21882529</v>
      </c>
      <c r="C7" s="8" t="n">
        <f aca="false">INDEX(Raw_MY_exports!$B$2:$K$10,MATCH("United States",Raw_MY_exports!$A$2:$A$10,0),2)</f>
        <v>17164587</v>
      </c>
      <c r="D7" s="8" t="n">
        <f aca="false">INDEX(Raw_MY_exports!$B$2:$K$10,MATCH("United States",Raw_MY_exports!$A$2:$A$10,0),4)</f>
        <v>23699638</v>
      </c>
      <c r="E7" s="8" t="n">
        <f aca="false">INDEX(Raw_MY_exports!$B$2:$K$10,MATCH("United States",Raw_MY_exports!$A$2:$A$10,0),6)</f>
        <v>41727671</v>
      </c>
      <c r="F7" s="8" t="n">
        <f aca="false">INDEX(Raw_MY_exports!$B$2:$K$10,MATCH("United States",Raw_MY_exports!$A$2:$A$10,0),7)</f>
        <v>33930774</v>
      </c>
      <c r="G7" s="8" t="n">
        <f aca="false">INDEX(Raw_MY_exports!$B$2:$K$10,MATCH("United States",Raw_MY_exports!$A$2:$A$10,0),8)</f>
        <v>74787756</v>
      </c>
      <c r="H7" s="8" t="n">
        <f aca="false">INDEX(Raw_MY_exports!$B$2:$K$10,MATCH("United States",Raw_MY_exports!$A$2:$A$10,0),9)</f>
        <v>53083566</v>
      </c>
      <c r="I7" s="9" t="n">
        <f aca="false">INDEX(Raw_MY_exports!$B$2:$K$10,MATCH("United States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0.196709821610778</v>
      </c>
      <c r="J7" s="9" t="n">
        <f aca="false">IFERROR((INDEX(Raw_MY_exports!$B$2:$K$10,MATCH("United States",Raw_MY_exports!$A$2:$A$10,0),8)/INDEX(Raw_MY_exports!$B$2:$K$10,MATCH("United States",Raw_MY_exports!$A$2:$A$10,0),2))^(1/6)-1,"–")</f>
        <v>0.278005895848992</v>
      </c>
    </row>
    <row r="8" customFormat="false" ht="15" hidden="false" customHeight="false" outlineLevel="0" collapsed="false">
      <c r="A8" s="13" t="s">
        <v>18</v>
      </c>
      <c r="B8" s="11" t="n">
        <f aca="false">INDEX(Raw_MY_exports!$B$2:$K$10,MATCH("Germany",Raw_MY_exports!$A$2:$A$10,0),1)</f>
        <v>24106637</v>
      </c>
      <c r="C8" s="11" t="n">
        <f aca="false">INDEX(Raw_MY_exports!$B$2:$K$10,MATCH("Germany",Raw_MY_exports!$A$2:$A$10,0),2)</f>
        <v>21023899</v>
      </c>
      <c r="D8" s="11" t="n">
        <f aca="false">INDEX(Raw_MY_exports!$B$2:$K$10,MATCH("Germany",Raw_MY_exports!$A$2:$A$10,0),4)</f>
        <v>10484535</v>
      </c>
      <c r="E8" s="11" t="n">
        <f aca="false">INDEX(Raw_MY_exports!$B$2:$K$10,MATCH("Germany",Raw_MY_exports!$A$2:$A$10,0),6)</f>
        <v>4245293</v>
      </c>
      <c r="F8" s="11" t="n">
        <f aca="false">INDEX(Raw_MY_exports!$B$2:$K$10,MATCH("Germany",Raw_MY_exports!$A$2:$A$10,0),7)</f>
        <v>6019106</v>
      </c>
      <c r="G8" s="11" t="n">
        <f aca="false">INDEX(Raw_MY_exports!$B$2:$K$10,MATCH("Germany",Raw_MY_exports!$A$2:$A$10,0),8)</f>
        <v>3316892</v>
      </c>
      <c r="H8" s="11" t="n">
        <f aca="false">INDEX(Raw_MY_exports!$B$2:$K$10,MATCH("Germany",Raw_MY_exports!$A$2:$A$10,0),9)</f>
        <v>11462164</v>
      </c>
      <c r="I8" s="12" t="n">
        <f aca="false">INDEX(Raw_MY_exports!$B$2:$K$10,MATCH("Germany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0.0424749203117492</v>
      </c>
      <c r="J8" s="12" t="n">
        <f aca="false">IFERROR((INDEX(Raw_MY_exports!$B$2:$K$10,MATCH("Germany",Raw_MY_exports!$A$2:$A$10,0),8)/INDEX(Raw_MY_exports!$B$2:$K$10,MATCH("Germany",Raw_MY_exports!$A$2:$A$10,0),2))^(1/6)-1,"–")</f>
        <v>-0.264917057889657</v>
      </c>
    </row>
    <row r="9" customFormat="false" ht="15" hidden="false" customHeight="false" outlineLevel="0" collapsed="false">
      <c r="A9" s="14" t="s">
        <v>19</v>
      </c>
      <c r="B9" s="8" t="n">
        <f aca="false">INDEX(Raw_MY_exports!$B$2:$K$10,MATCH("United Kingdom",Raw_MY_exports!$A$2:$A$10,0),1)</f>
        <v>8176920</v>
      </c>
      <c r="C9" s="8" t="n">
        <f aca="false">INDEX(Raw_MY_exports!$B$2:$K$10,MATCH("United Kingdom",Raw_MY_exports!$A$2:$A$10,0),2)</f>
        <v>4119896</v>
      </c>
      <c r="D9" s="8" t="n">
        <f aca="false">INDEX(Raw_MY_exports!$B$2:$K$10,MATCH("United Kingdom",Raw_MY_exports!$A$2:$A$10,0),4)</f>
        <v>2831271</v>
      </c>
      <c r="E9" s="8" t="n">
        <f aca="false">INDEX(Raw_MY_exports!$B$2:$K$10,MATCH("United Kingdom",Raw_MY_exports!$A$2:$A$10,0),6)</f>
        <v>5894559</v>
      </c>
      <c r="F9" s="8" t="n">
        <f aca="false">INDEX(Raw_MY_exports!$B$2:$K$10,MATCH("United Kingdom",Raw_MY_exports!$A$2:$A$10,0),7)</f>
        <v>3924371</v>
      </c>
      <c r="G9" s="8" t="n">
        <f aca="false">INDEX(Raw_MY_exports!$B$2:$K$10,MATCH("United Kingdom",Raw_MY_exports!$A$2:$A$10,0),8)</f>
        <v>5321087</v>
      </c>
      <c r="H9" s="8" t="n">
        <f aca="false">INDEX(Raw_MY_exports!$B$2:$K$10,MATCH("United Kingdom",Raw_MY_exports!$A$2:$A$10,0),9)</f>
        <v>2702669</v>
      </c>
      <c r="I9" s="9" t="n">
        <f aca="false">INDEX(Raw_MY_exports!$B$2:$K$10,MATCH("United Kingdom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0.0100151812872364</v>
      </c>
      <c r="J9" s="9" t="n">
        <f aca="false">IFERROR((INDEX(Raw_MY_exports!$B$2:$K$10,MATCH("United Kingdom",Raw_MY_exports!$A$2:$A$10,0),8)/INDEX(Raw_MY_exports!$B$2:$K$10,MATCH("United Kingdom",Raw_MY_exports!$A$2:$A$10,0),2))^(1/6)-1,"–")</f>
        <v>0.043563829413211</v>
      </c>
    </row>
    <row r="10" customFormat="false" ht="15" hidden="false" customHeight="false" outlineLevel="0" collapsed="false">
      <c r="A10" s="13" t="s">
        <v>20</v>
      </c>
      <c r="B10" s="11" t="n">
        <f aca="false">INDEX(Raw_MY_exports!$B$2:$K$10,MATCH("Italy",Raw_MY_exports!$A$2:$A$10,0),1)</f>
        <v>607201</v>
      </c>
      <c r="C10" s="11" t="n">
        <f aca="false">INDEX(Raw_MY_exports!$B$2:$K$10,MATCH("Italy",Raw_MY_exports!$A$2:$A$10,0),2)</f>
        <v>950168</v>
      </c>
      <c r="D10" s="11" t="n">
        <f aca="false">INDEX(Raw_MY_exports!$B$2:$K$10,MATCH("Italy",Raw_MY_exports!$A$2:$A$10,0),4)</f>
        <v>914595</v>
      </c>
      <c r="E10" s="11" t="n">
        <f aca="false">INDEX(Raw_MY_exports!$B$2:$K$10,MATCH("Italy",Raw_MY_exports!$A$2:$A$10,0),6)</f>
        <v>1106911</v>
      </c>
      <c r="F10" s="11" t="n">
        <f aca="false">INDEX(Raw_MY_exports!$B$2:$K$10,MATCH("Italy",Raw_MY_exports!$A$2:$A$10,0),7)</f>
        <v>336392</v>
      </c>
      <c r="G10" s="11" t="n">
        <f aca="false">INDEX(Raw_MY_exports!$B$2:$K$10,MATCH("Italy",Raw_MY_exports!$A$2:$A$10,0),8)</f>
        <v>894767</v>
      </c>
      <c r="H10" s="11" t="n">
        <f aca="false">INDEX(Raw_MY_exports!$B$2:$K$10,MATCH("Italy",Raw_MY_exports!$A$2:$A$10,0),9)</f>
        <v>2378485</v>
      </c>
      <c r="I10" s="12" t="n">
        <f aca="false">INDEX(Raw_MY_exports!$B$2:$K$10,MATCH("Italy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0.00881386454056064</v>
      </c>
      <c r="J10" s="12" t="n">
        <f aca="false">IFERROR((INDEX(Raw_MY_exports!$B$2:$K$10,MATCH("Italy",Raw_MY_exports!$A$2:$A$10,0),8)/INDEX(Raw_MY_exports!$B$2:$K$10,MATCH("Italy",Raw_MY_exports!$A$2:$A$10,0),2))^(1/6)-1,"–")</f>
        <v>-0.00996261800930443</v>
      </c>
    </row>
    <row r="11" customFormat="false" ht="15" hidden="false" customHeight="false" outlineLevel="0" collapsed="false">
      <c r="A11" s="14" t="s">
        <v>21</v>
      </c>
      <c r="B11" s="8" t="n">
        <f aca="false">INDEX(Raw_MY_exports!$B$2:$K$10,MATCH("France",Raw_MY_exports!$A$2:$A$10,0),1)</f>
        <v>2092064</v>
      </c>
      <c r="C11" s="8" t="n">
        <f aca="false">INDEX(Raw_MY_exports!$B$2:$K$10,MATCH("France",Raw_MY_exports!$A$2:$A$10,0),2)</f>
        <v>724600</v>
      </c>
      <c r="D11" s="8" t="n">
        <f aca="false">INDEX(Raw_MY_exports!$B$2:$K$10,MATCH("France",Raw_MY_exports!$A$2:$A$10,0),4)</f>
        <v>1943219</v>
      </c>
      <c r="E11" s="8" t="n">
        <f aca="false">INDEX(Raw_MY_exports!$B$2:$K$10,MATCH("France",Raw_MY_exports!$A$2:$A$10,0),6)</f>
        <v>1236874</v>
      </c>
      <c r="F11" s="8" t="n">
        <f aca="false">INDEX(Raw_MY_exports!$B$2:$K$10,MATCH("France",Raw_MY_exports!$A$2:$A$10,0),7)</f>
        <v>575146</v>
      </c>
      <c r="G11" s="8" t="n">
        <f aca="false">INDEX(Raw_MY_exports!$B$2:$K$10,MATCH("France",Raw_MY_exports!$A$2:$A$10,0),8)</f>
        <v>76549</v>
      </c>
      <c r="H11" s="8" t="n">
        <f aca="false">INDEX(Raw_MY_exports!$B$2:$K$10,MATCH("France",Raw_MY_exports!$A$2:$A$10,0),9)</f>
        <v>609024</v>
      </c>
      <c r="I11" s="9" t="n">
        <f aca="false">INDEX(Raw_MY_exports!$B$2:$K$10,MATCH("France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0.00225683787703114</v>
      </c>
      <c r="J11" s="9" t="n">
        <f aca="false">IFERROR((INDEX(Raw_MY_exports!$B$2:$K$10,MATCH("France",Raw_MY_exports!$A$2:$A$10,0),8)/INDEX(Raw_MY_exports!$B$2:$K$10,MATCH("France",Raw_MY_exports!$A$2:$A$10,0),2))^(1/6)-1,"–")</f>
        <v>-0.31244591719231</v>
      </c>
    </row>
    <row r="12" customFormat="false" ht="15" hidden="false" customHeight="false" outlineLevel="0" collapsed="false">
      <c r="A12" s="13" t="s">
        <v>22</v>
      </c>
      <c r="B12" s="11" t="n">
        <f aca="false">INDEX(Raw_MY_exports!$B$2:$K$10,MATCH("Canada",Raw_MY_exports!$A$2:$A$10,0),1)</f>
        <v>2198707</v>
      </c>
      <c r="C12" s="11" t="n">
        <f aca="false">INDEX(Raw_MY_exports!$B$2:$K$10,MATCH("Canada",Raw_MY_exports!$A$2:$A$10,0),2)</f>
        <v>1947830</v>
      </c>
      <c r="D12" s="11" t="n">
        <f aca="false">INDEX(Raw_MY_exports!$B$2:$K$10,MATCH("Canada",Raw_MY_exports!$A$2:$A$10,0),4)</f>
        <v>127145</v>
      </c>
      <c r="E12" s="11" t="n">
        <f aca="false">INDEX(Raw_MY_exports!$B$2:$K$10,MATCH("Canada",Raw_MY_exports!$A$2:$A$10,0),6)</f>
        <v>497669</v>
      </c>
      <c r="F12" s="11" t="n">
        <f aca="false">INDEX(Raw_MY_exports!$B$2:$K$10,MATCH("Canada",Raw_MY_exports!$A$2:$A$10,0),7)</f>
        <v>1416289</v>
      </c>
      <c r="G12" s="11" t="n">
        <f aca="false">INDEX(Raw_MY_exports!$B$2:$K$10,MATCH("Canada",Raw_MY_exports!$A$2:$A$10,0),8)</f>
        <v>1434023</v>
      </c>
      <c r="H12" s="11" t="n">
        <f aca="false">INDEX(Raw_MY_exports!$B$2:$K$10,MATCH("Canada",Raw_MY_exports!$A$2:$A$10,0),9)</f>
        <v>31708</v>
      </c>
      <c r="I12" s="12" t="n">
        <f aca="false">INDEX(Raw_MY_exports!$B$2:$K$10,MATCH("Canada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0.000117499171469274</v>
      </c>
      <c r="J12" s="12" t="n">
        <f aca="false">IFERROR((INDEX(Raw_MY_exports!$B$2:$K$10,MATCH("Canada",Raw_MY_exports!$A$2:$A$10,0),8)/INDEX(Raw_MY_exports!$B$2:$K$10,MATCH("Canada",Raw_MY_exports!$A$2:$A$10,0),2))^(1/6)-1,"–")</f>
        <v>-0.0497580968305641</v>
      </c>
    </row>
    <row r="13" customFormat="false" ht="15" hidden="false" customHeight="false" outlineLevel="0" collapsed="false">
      <c r="A13" s="14" t="s">
        <v>23</v>
      </c>
      <c r="B13" s="8" t="n">
        <f aca="false">INDEX(Raw_MY_exports!$B$2:$K$10,MATCH("Ireland",Raw_MY_exports!$A$2:$A$10,0),1)</f>
        <v>161342</v>
      </c>
      <c r="C13" s="8" t="n">
        <f aca="false">INDEX(Raw_MY_exports!$B$2:$K$10,MATCH("Ireland",Raw_MY_exports!$A$2:$A$10,0),2)</f>
        <v>0</v>
      </c>
      <c r="D13" s="8" t="n">
        <f aca="false">INDEX(Raw_MY_exports!$B$2:$K$10,MATCH("Ireland",Raw_MY_exports!$A$2:$A$10,0),4)</f>
        <v>0</v>
      </c>
      <c r="E13" s="8" t="n">
        <f aca="false">INDEX(Raw_MY_exports!$B$2:$K$10,MATCH("Ireland",Raw_MY_exports!$A$2:$A$10,0),6)</f>
        <v>1396766</v>
      </c>
      <c r="F13" s="8" t="n">
        <f aca="false">INDEX(Raw_MY_exports!$B$2:$K$10,MATCH("Ireland",Raw_MY_exports!$A$2:$A$10,0),7)</f>
        <v>851821</v>
      </c>
      <c r="G13" s="8" t="n">
        <f aca="false">INDEX(Raw_MY_exports!$B$2:$K$10,MATCH("Ireland",Raw_MY_exports!$A$2:$A$10,0),8)</f>
        <v>60</v>
      </c>
      <c r="H13" s="8" t="n">
        <f aca="false">INDEX(Raw_MY_exports!$B$2:$K$10,MATCH("Ireland",Raw_MY_exports!$A$2:$A$10,0),9)</f>
        <v>10283</v>
      </c>
      <c r="I13" s="9" t="n">
        <f aca="false">INDEX(Raw_MY_exports!$B$2:$K$10,MATCH("Ireland",Raw_MY_exports!$A$2:$A$10,0),9)/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3.81053355688958E-005</v>
      </c>
      <c r="J13" s="9" t="str">
        <f aca="false">IFERROR((INDEX(Raw_MY_exports!$B$2:$K$10,MATCH("Ireland",Raw_MY_exports!$A$2:$A$10,0),8)/INDEX(Raw_MY_exports!$B$2:$K$10,MATCH("Ireland",Raw_MY_exports!$A$2:$A$10,0),2))^(1/6)-1,"–")</f>
        <v>–</v>
      </c>
    </row>
    <row r="14" customFormat="false" ht="15" hidden="false" customHeight="false" outlineLevel="0" collapsed="false">
      <c r="A14" s="15" t="s">
        <v>24</v>
      </c>
      <c r="B14" s="16" t="n">
        <f aca="false">(INDEX(Raw_MY_exports!$B$2:$K$10,MATCH("Canada",Raw_MY_exports!$A$2:$A$10,0),1)+INDEX(Raw_MY_exports!$B$2:$K$10,MATCH("China",Raw_MY_exports!$A$2:$A$10,0),1)+INDEX(Raw_MY_exports!$B$2:$K$10,MATCH("France",Raw_MY_exports!$A$2:$A$10,0),1)+INDEX(Raw_MY_exports!$B$2:$K$10,MATCH("Germany",Raw_MY_exports!$A$2:$A$10,0),1)+INDEX(Raw_MY_exports!$B$2:$K$10,MATCH("Ireland",Raw_MY_exports!$A$2:$A$10,0),1)+INDEX(Raw_MY_exports!$B$2:$K$10,MATCH("Italy",Raw_MY_exports!$A$2:$A$10,0),1)+INDEX(Raw_MY_exports!$B$2:$K$10,MATCH("Singapore",Raw_MY_exports!$A$2:$A$10,0),1)+INDEX(Raw_MY_exports!$B$2:$K$10,MATCH("United Kingdom",Raw_MY_exports!$A$2:$A$10,0),1)+INDEX(Raw_MY_exports!$B$2:$K$10,MATCH("United States",Raw_MY_exports!$A$2:$A$10,0),1))</f>
        <v>226502363</v>
      </c>
      <c r="C14" s="16" t="n">
        <f aca="false">(INDEX(Raw_MY_exports!$B$2:$K$10,MATCH("Canada",Raw_MY_exports!$A$2:$A$10,0),2)+INDEX(Raw_MY_exports!$B$2:$K$10,MATCH("China",Raw_MY_exports!$A$2:$A$10,0),2)+INDEX(Raw_MY_exports!$B$2:$K$10,MATCH("France",Raw_MY_exports!$A$2:$A$10,0),2)+INDEX(Raw_MY_exports!$B$2:$K$10,MATCH("Germany",Raw_MY_exports!$A$2:$A$10,0),2)+INDEX(Raw_MY_exports!$B$2:$K$10,MATCH("Ireland",Raw_MY_exports!$A$2:$A$10,0),2)+INDEX(Raw_MY_exports!$B$2:$K$10,MATCH("Italy",Raw_MY_exports!$A$2:$A$10,0),2)+INDEX(Raw_MY_exports!$B$2:$K$10,MATCH("Singapore",Raw_MY_exports!$A$2:$A$10,0),2)+INDEX(Raw_MY_exports!$B$2:$K$10,MATCH("United Kingdom",Raw_MY_exports!$A$2:$A$10,0),2)+INDEX(Raw_MY_exports!$B$2:$K$10,MATCH("United States",Raw_MY_exports!$A$2:$A$10,0),2))</f>
        <v>188092364</v>
      </c>
      <c r="D14" s="16" t="n">
        <f aca="false">(INDEX(Raw_MY_exports!$B$2:$K$10,MATCH("Canada",Raw_MY_exports!$A$2:$A$10,0),4)+INDEX(Raw_MY_exports!$B$2:$K$10,MATCH("China",Raw_MY_exports!$A$2:$A$10,0),4)+INDEX(Raw_MY_exports!$B$2:$K$10,MATCH("France",Raw_MY_exports!$A$2:$A$10,0),4)+INDEX(Raw_MY_exports!$B$2:$K$10,MATCH("Germany",Raw_MY_exports!$A$2:$A$10,0),4)+INDEX(Raw_MY_exports!$B$2:$K$10,MATCH("Ireland",Raw_MY_exports!$A$2:$A$10,0),4)+INDEX(Raw_MY_exports!$B$2:$K$10,MATCH("Italy",Raw_MY_exports!$A$2:$A$10,0),4)+INDEX(Raw_MY_exports!$B$2:$K$10,MATCH("Singapore",Raw_MY_exports!$A$2:$A$10,0),4)+INDEX(Raw_MY_exports!$B$2:$K$10,MATCH("United Kingdom",Raw_MY_exports!$A$2:$A$10,0),4)+INDEX(Raw_MY_exports!$B$2:$K$10,MATCH("United States",Raw_MY_exports!$A$2:$A$10,0),4))</f>
        <v>186230373</v>
      </c>
      <c r="E14" s="16" t="n">
        <f aca="false">(INDEX(Raw_MY_exports!$B$2:$K$10,MATCH("Canada",Raw_MY_exports!$A$2:$A$10,0),6)+INDEX(Raw_MY_exports!$B$2:$K$10,MATCH("China",Raw_MY_exports!$A$2:$A$10,0),6)+INDEX(Raw_MY_exports!$B$2:$K$10,MATCH("France",Raw_MY_exports!$A$2:$A$10,0),6)+INDEX(Raw_MY_exports!$B$2:$K$10,MATCH("Germany",Raw_MY_exports!$A$2:$A$10,0),6)+INDEX(Raw_MY_exports!$B$2:$K$10,MATCH("Ireland",Raw_MY_exports!$A$2:$A$10,0),6)+INDEX(Raw_MY_exports!$B$2:$K$10,MATCH("Italy",Raw_MY_exports!$A$2:$A$10,0),6)+INDEX(Raw_MY_exports!$B$2:$K$10,MATCH("Singapore",Raw_MY_exports!$A$2:$A$10,0),6)+INDEX(Raw_MY_exports!$B$2:$K$10,MATCH("United Kingdom",Raw_MY_exports!$A$2:$A$10,0),6)+INDEX(Raw_MY_exports!$B$2:$K$10,MATCH("United States",Raw_MY_exports!$A$2:$A$10,0),6))</f>
        <v>220702147</v>
      </c>
      <c r="F14" s="16" t="n">
        <f aca="false">(INDEX(Raw_MY_exports!$B$2:$K$10,MATCH("Canada",Raw_MY_exports!$A$2:$A$10,0),7)+INDEX(Raw_MY_exports!$B$2:$K$10,MATCH("China",Raw_MY_exports!$A$2:$A$10,0),7)+INDEX(Raw_MY_exports!$B$2:$K$10,MATCH("France",Raw_MY_exports!$A$2:$A$10,0),7)+INDEX(Raw_MY_exports!$B$2:$K$10,MATCH("Germany",Raw_MY_exports!$A$2:$A$10,0),7)+INDEX(Raw_MY_exports!$B$2:$K$10,MATCH("Ireland",Raw_MY_exports!$A$2:$A$10,0),7)+INDEX(Raw_MY_exports!$B$2:$K$10,MATCH("Italy",Raw_MY_exports!$A$2:$A$10,0),7)+INDEX(Raw_MY_exports!$B$2:$K$10,MATCH("Singapore",Raw_MY_exports!$A$2:$A$10,0),7)+INDEX(Raw_MY_exports!$B$2:$K$10,MATCH("United Kingdom",Raw_MY_exports!$A$2:$A$10,0),7)+INDEX(Raw_MY_exports!$B$2:$K$10,MATCH("United States",Raw_MY_exports!$A$2:$A$10,0),7))</f>
        <v>228755926</v>
      </c>
      <c r="G14" s="16" t="n">
        <f aca="false">(INDEX(Raw_MY_exports!$B$2:$K$10,MATCH("Canada",Raw_MY_exports!$A$2:$A$10,0),8)+INDEX(Raw_MY_exports!$B$2:$K$10,MATCH("China",Raw_MY_exports!$A$2:$A$10,0),8)+INDEX(Raw_MY_exports!$B$2:$K$10,MATCH("France",Raw_MY_exports!$A$2:$A$10,0),8)+INDEX(Raw_MY_exports!$B$2:$K$10,MATCH("Germany",Raw_MY_exports!$A$2:$A$10,0),8)+INDEX(Raw_MY_exports!$B$2:$K$10,MATCH("Ireland",Raw_MY_exports!$A$2:$A$10,0),8)+INDEX(Raw_MY_exports!$B$2:$K$10,MATCH("Italy",Raw_MY_exports!$A$2:$A$10,0),8)+INDEX(Raw_MY_exports!$B$2:$K$10,MATCH("Singapore",Raw_MY_exports!$A$2:$A$10,0),8)+INDEX(Raw_MY_exports!$B$2:$K$10,MATCH("United Kingdom",Raw_MY_exports!$A$2:$A$10,0),8)+INDEX(Raw_MY_exports!$B$2:$K$10,MATCH("United States",Raw_MY_exports!$A$2:$A$10,0),8))</f>
        <v>318317307</v>
      </c>
      <c r="H14" s="16" t="n">
        <f aca="false">(INDEX(Raw_MY_exports!$B$2:$K$10,MATCH("Canada",Raw_MY_exports!$A$2:$A$10,0),9)+INDEX(Raw_MY_exports!$B$2:$K$10,MATCH("China",Raw_MY_exports!$A$2:$A$10,0),9)+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+INDEX(Raw_MY_exports!$B$2:$K$10,MATCH("Singapore",Raw_MY_exports!$A$2:$A$10,0),9)+INDEX(Raw_MY_exports!$B$2:$K$10,MATCH("United Kingdom",Raw_MY_exports!$A$2:$A$10,0),9)+INDEX(Raw_MY_exports!$B$2:$K$10,MATCH("United States",Raw_MY_exports!$A$2:$A$10,0),9))</f>
        <v>269857222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9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17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customFormat="false" ht="15" hidden="false" customHeight="false" outlineLevel="0" collapsed="false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18" t="s">
        <v>28</v>
      </c>
      <c r="B5" s="19" t="n">
        <v>2017</v>
      </c>
      <c r="C5" s="19" t="n">
        <v>2018</v>
      </c>
      <c r="D5" s="19" t="n">
        <v>2019</v>
      </c>
      <c r="E5" s="19" t="n">
        <v>2020</v>
      </c>
      <c r="F5" s="19" t="n">
        <v>2021</v>
      </c>
      <c r="G5" s="19" t="n">
        <v>2022</v>
      </c>
      <c r="H5" s="19" t="n">
        <v>2023</v>
      </c>
      <c r="I5" s="19" t="n">
        <v>2024</v>
      </c>
      <c r="J5" s="19" t="n">
        <v>2025</v>
      </c>
    </row>
    <row r="6" customFormat="false" ht="15" hidden="false" customHeight="false" outlineLevel="0" collapsed="false">
      <c r="A6" s="14" t="s">
        <v>29</v>
      </c>
      <c r="B6" s="20" t="n">
        <f aca="false">INDEX(Raw_MY_exports!$B$2:$K$10,MATCH("United States",Raw_MY_exports!$A$2:$A$10,0),1)/INDEX(Raw_partner_imports!$B$4:$J$4,1,1)/1000000</f>
        <v>5.08896023255814</v>
      </c>
      <c r="C6" s="20" t="n">
        <f aca="false">INDEX(Raw_MY_exports!$B$2:$K$10,MATCH("United States",Raw_MY_exports!$A$2:$A$10,0),2)/INDEX(Raw_partner_imports!$B$4:$J$4,1,2)/1000000</f>
        <v>4.2539249070632</v>
      </c>
      <c r="D6" s="20" t="n">
        <f aca="false">INDEX(Raw_MY_exports!$B$2:$K$10,MATCH("United States",Raw_MY_exports!$A$2:$A$10,0),3)/INDEX(Raw_partner_imports!$B$4:$J$4,1,3)/1000000</f>
        <v>6.44489159826171</v>
      </c>
      <c r="E6" s="20" t="n">
        <f aca="false">INDEX(Raw_MY_exports!$B$2:$K$10,MATCH("United States",Raw_MY_exports!$A$2:$A$10,0),4)/INDEX(Raw_partner_imports!$B$4:$J$4,1,4)/1000000</f>
        <v>5.63874327861052</v>
      </c>
      <c r="F6" s="20" t="n">
        <f aca="false">INDEX(Raw_MY_exports!$B$2:$K$10,MATCH("United States",Raw_MY_exports!$A$2:$A$10,0),5)/INDEX(Raw_partner_imports!$B$4:$J$4,1,5)/1000000</f>
        <v>6.36927685252233</v>
      </c>
      <c r="G6" s="20" t="n">
        <f aca="false">INDEX(Raw_MY_exports!$B$2:$K$10,MATCH("United States",Raw_MY_exports!$A$2:$A$10,0),6)/INDEX(Raw_partner_imports!$B$4:$J$4,1,6)/1000000</f>
        <v>9.48140672574415</v>
      </c>
      <c r="H6" s="20" t="n">
        <f aca="false">INDEX(Raw_MY_exports!$B$2:$K$10,MATCH("United States",Raw_MY_exports!$A$2:$A$10,0),7)/INDEX(Raw_partner_imports!$B$4:$J$4,1,7)/1000000</f>
        <v>7.44095921052632</v>
      </c>
      <c r="I6" s="20" t="n">
        <f aca="false">INDEX(Raw_MY_exports!$B$2:$K$10,MATCH("United States",Raw_MY_exports!$A$2:$A$10,0),8)/INDEX(Raw_partner_imports!$B$4:$J$4,1,8)/1000000</f>
        <v>16.3470504918033</v>
      </c>
      <c r="J6" s="20" t="n">
        <f aca="false">INDEX(Raw_MY_exports!$B$2:$K$10,MATCH("United States",Raw_MY_exports!$A$2:$A$10,0),9)/INDEX(Raw_partner_imports!$B$4:$J$4,1,9)/1000000</f>
        <v>12.009856561086</v>
      </c>
    </row>
    <row r="7" customFormat="false" ht="15" hidden="false" customHeight="false" outlineLevel="0" collapsed="false">
      <c r="A7" s="14" t="s">
        <v>30</v>
      </c>
      <c r="B7" s="20" t="n">
        <f aca="false">INDEX(Raw_partner_imports!$B$2:$J$2,1,1)/1000000</f>
        <v>3.533798</v>
      </c>
      <c r="C7" s="20" t="n">
        <f aca="false">INDEX(Raw_partner_imports!$B$2:$J$2,1,2)/1000000</f>
        <v>2.501611</v>
      </c>
      <c r="D7" s="20" t="n">
        <f aca="false">INDEX(Raw_partner_imports!$B$2:$J$2,1,3)/1000000</f>
        <v>4.182633</v>
      </c>
      <c r="E7" s="20" t="n">
        <f aca="false">INDEX(Raw_partner_imports!$B$2:$J$2,1,4)/1000000</f>
        <v>3.729844</v>
      </c>
      <c r="F7" s="20" t="n">
        <f aca="false">INDEX(Raw_partner_imports!$B$2:$J$2,1,5)/1000000</f>
        <v>4.920458</v>
      </c>
      <c r="G7" s="20" t="n">
        <f aca="false">INDEX(Raw_partner_imports!$B$2:$J$2,1,6)/1000000</f>
        <v>6.805013</v>
      </c>
      <c r="H7" s="20" t="n">
        <f aca="false">INDEX(Raw_partner_imports!$B$2:$J$2,1,7)/1000000</f>
        <v>6.982079</v>
      </c>
      <c r="I7" s="20" t="n">
        <f aca="false">INDEX(Raw_partner_imports!$B$2:$J$2,1,8)/1000000</f>
        <v>9.022971</v>
      </c>
      <c r="J7" s="20" t="n">
        <f aca="false">INDEX(Raw_partner_imports!$B$2:$J$2,1,9)/1000000</f>
        <v>10.642976</v>
      </c>
    </row>
    <row r="8" customFormat="false" ht="15" hidden="false" customHeight="false" outlineLevel="0" collapsed="false">
      <c r="A8" s="14" t="s">
        <v>31</v>
      </c>
      <c r="B8" s="21" t="n">
        <f aca="false">INDEX(Raw_MY_exports!$B$2:$K$10,MATCH("United States",Raw_MY_exports!$A$2:$A$10,0),1)/INDEX(Raw_partner_imports!$B$4:$J$4,1,1)/INDEX(Raw_partner_imports!$B$2:$J$2,1,1)</f>
        <v>1.44008237951296</v>
      </c>
      <c r="C8" s="21" t="n">
        <f aca="false">INDEX(Raw_MY_exports!$B$2:$K$10,MATCH("United States",Raw_MY_exports!$A$2:$A$10,0),2)/INDEX(Raw_partner_imports!$B$4:$J$4,1,2)/INDEX(Raw_partner_imports!$B$2:$J$2,1,2)</f>
        <v>1.70047417726545</v>
      </c>
      <c r="D8" s="21" t="n">
        <f aca="false">INDEX(Raw_MY_exports!$B$2:$K$10,MATCH("United States",Raw_MY_exports!$A$2:$A$10,0),3)/INDEX(Raw_partner_imports!$B$4:$J$4,1,3)/INDEX(Raw_partner_imports!$B$2:$J$2,1,3)</f>
        <v>1.54086949494773</v>
      </c>
      <c r="E8" s="21" t="n">
        <f aca="false">INDEX(Raw_MY_exports!$B$2:$K$10,MATCH("United States",Raw_MY_exports!$A$2:$A$10,0),4)/INDEX(Raw_partner_imports!$B$4:$J$4,1,4)/INDEX(Raw_partner_imports!$B$2:$J$2,1,4)</f>
        <v>1.51179064824441</v>
      </c>
      <c r="F8" s="21" t="n">
        <f aca="false">INDEX(Raw_MY_exports!$B$2:$K$10,MATCH("United States",Raw_MY_exports!$A$2:$A$10,0),5)/INDEX(Raw_partner_imports!$B$4:$J$4,1,5)/INDEX(Raw_partner_imports!$B$2:$J$2,1,5)</f>
        <v>1.2944479665353</v>
      </c>
      <c r="G8" s="21" t="n">
        <f aca="false">INDEX(Raw_MY_exports!$B$2:$K$10,MATCH("United States",Raw_MY_exports!$A$2:$A$10,0),6)/INDEX(Raw_partner_imports!$B$4:$J$4,1,6)/INDEX(Raw_partner_imports!$B$2:$J$2,1,6)</f>
        <v>1.39329737147367</v>
      </c>
      <c r="H8" s="21" t="n">
        <f aca="false">INDEX(Raw_MY_exports!$B$2:$K$10,MATCH("United States",Raw_MY_exports!$A$2:$A$10,0),7)/INDEX(Raw_partner_imports!$B$4:$J$4,1,7)/INDEX(Raw_partner_imports!$B$2:$J$2,1,7)</f>
        <v>1.06572257497034</v>
      </c>
      <c r="I8" s="21" t="n">
        <f aca="false">INDEX(Raw_MY_exports!$B$2:$K$10,MATCH("United States",Raw_MY_exports!$A$2:$A$10,0),8)/INDEX(Raw_partner_imports!$B$4:$J$4,1,8)/INDEX(Raw_partner_imports!$B$2:$J$2,1,8)</f>
        <v>1.81171484334852</v>
      </c>
      <c r="J8" s="21" t="n">
        <f aca="false">INDEX(Raw_MY_exports!$B$2:$K$10,MATCH("United States",Raw_MY_exports!$A$2:$A$10,0),9)/INDEX(Raw_partner_imports!$B$4:$J$4,1,9)/INDEX(Raw_partner_imports!$B$2:$J$2,1,9)</f>
        <v>1.12843029628987</v>
      </c>
    </row>
    <row r="10" customFormat="false" ht="15" hidden="false" customHeight="false" outlineLevel="0" collapsed="false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18" t="s">
        <v>28</v>
      </c>
      <c r="B11" s="19" t="n">
        <v>2017</v>
      </c>
      <c r="C11" s="19" t="n">
        <v>2018</v>
      </c>
      <c r="D11" s="19" t="n">
        <v>2019</v>
      </c>
      <c r="E11" s="19" t="n">
        <v>2020</v>
      </c>
      <c r="F11" s="19" t="n">
        <v>2021</v>
      </c>
      <c r="G11" s="19" t="n">
        <v>2022</v>
      </c>
      <c r="H11" s="19" t="n">
        <v>2023</v>
      </c>
      <c r="I11" s="19" t="n">
        <v>2024</v>
      </c>
      <c r="J11" s="19" t="n">
        <v>2025</v>
      </c>
    </row>
    <row r="12" customFormat="false" ht="15" hidden="false" customHeight="false" outlineLevel="0" collapsed="false">
      <c r="A12" s="14" t="s">
        <v>33</v>
      </c>
      <c r="B12" s="20" t="n">
        <f aca="false">(INDEX(Raw_MY_exports!$B$2:$K$10,MATCH("France",Raw_MY_exports!$A$2:$A$10,0),1)+INDEX(Raw_MY_exports!$B$2:$K$10,MATCH("Germany",Raw_MY_exports!$A$2:$A$10,0),1)+INDEX(Raw_MY_exports!$B$2:$K$10,MATCH("Ireland",Raw_MY_exports!$A$2:$A$10,0),1)+INDEX(Raw_MY_exports!$B$2:$K$10,MATCH("Italy",Raw_MY_exports!$A$2:$A$10,0),1))/INDEX(Raw_partner_imports!$B$5:$J$5,1,1)/1000000</f>
        <v>5.56025649484536</v>
      </c>
      <c r="C12" s="20" t="n">
        <f aca="false">(INDEX(Raw_MY_exports!$B$2:$K$10,MATCH("France",Raw_MY_exports!$A$2:$A$10,0),2)+INDEX(Raw_MY_exports!$B$2:$K$10,MATCH("Germany",Raw_MY_exports!$A$2:$A$10,0),2)+INDEX(Raw_MY_exports!$B$2:$K$10,MATCH("Ireland",Raw_MY_exports!$A$2:$A$10,0),2)+INDEX(Raw_MY_exports!$B$2:$K$10,MATCH("Italy",Raw_MY_exports!$A$2:$A$10,0),2))/INDEX(Raw_partner_imports!$B$5:$J$5,1,2)/1000000</f>
        <v>4.75863039832285</v>
      </c>
      <c r="D12" s="20" t="n">
        <f aca="false">(INDEX(Raw_MY_exports!$B$2:$K$10,MATCH("France",Raw_MY_exports!$A$2:$A$10,0),3)+INDEX(Raw_MY_exports!$B$2:$K$10,MATCH("Germany",Raw_MY_exports!$A$2:$A$10,0),3)+INDEX(Raw_MY_exports!$B$2:$K$10,MATCH("Ireland",Raw_MY_exports!$A$2:$A$10,0),3)+INDEX(Raw_MY_exports!$B$2:$K$10,MATCH("Italy",Raw_MY_exports!$A$2:$A$10,0),3))/INDEX(Raw_partner_imports!$B$5:$J$5,1,3)/1000000</f>
        <v>2.77898254310345</v>
      </c>
      <c r="E12" s="20" t="n">
        <f aca="false">(INDEX(Raw_MY_exports!$B$2:$K$10,MATCH("France",Raw_MY_exports!$A$2:$A$10,0),4)+INDEX(Raw_MY_exports!$B$2:$K$10,MATCH("Germany",Raw_MY_exports!$A$2:$A$10,0),4)+INDEX(Raw_MY_exports!$B$2:$K$10,MATCH("Ireland",Raw_MY_exports!$A$2:$A$10,0),4)+INDEX(Raw_MY_exports!$B$2:$K$10,MATCH("Italy",Raw_MY_exports!$A$2:$A$10,0),4))/INDEX(Raw_partner_imports!$B$5:$J$5,1,4)/1000000</f>
        <v>2.77965604166667</v>
      </c>
      <c r="F12" s="20" t="n">
        <f aca="false">(INDEX(Raw_MY_exports!$B$2:$K$10,MATCH("France",Raw_MY_exports!$A$2:$A$10,0),5)+INDEX(Raw_MY_exports!$B$2:$K$10,MATCH("Germany",Raw_MY_exports!$A$2:$A$10,0),5)+INDEX(Raw_MY_exports!$B$2:$K$10,MATCH("Ireland",Raw_MY_exports!$A$2:$A$10,0),5)+INDEX(Raw_MY_exports!$B$2:$K$10,MATCH("Italy",Raw_MY_exports!$A$2:$A$10,0),5))/INDEX(Raw_partner_imports!$B$5:$J$5,1,5)/1000000</f>
        <v>1.20919469387755</v>
      </c>
      <c r="G12" s="20" t="n">
        <f aca="false">(INDEX(Raw_MY_exports!$B$2:$K$10,MATCH("France",Raw_MY_exports!$A$2:$A$10,0),6)+INDEX(Raw_MY_exports!$B$2:$K$10,MATCH("Germany",Raw_MY_exports!$A$2:$A$10,0),6)+INDEX(Raw_MY_exports!$B$2:$K$10,MATCH("Ireland",Raw_MY_exports!$A$2:$A$10,0),6)+INDEX(Raw_MY_exports!$B$2:$K$10,MATCH("Italy",Raw_MY_exports!$A$2:$A$10,0),6))/INDEX(Raw_partner_imports!$B$5:$J$5,1,6)/1000000</f>
        <v>1.72480431965443</v>
      </c>
      <c r="H12" s="20" t="n">
        <f aca="false">(INDEX(Raw_MY_exports!$B$2:$K$10,MATCH("France",Raw_MY_exports!$A$2:$A$10,0),7)+INDEX(Raw_MY_exports!$B$2:$K$10,MATCH("Germany",Raw_MY_exports!$A$2:$A$10,0),7)+INDEX(Raw_MY_exports!$B$2:$K$10,MATCH("Ireland",Raw_MY_exports!$A$2:$A$10,0),7)+INDEX(Raw_MY_exports!$B$2:$K$10,MATCH("Italy",Raw_MY_exports!$A$2:$A$10,0),7))/INDEX(Raw_partner_imports!$B$5:$J$5,1,7)/1000000</f>
        <v>1.57859330628803</v>
      </c>
      <c r="I12" s="20" t="n">
        <f aca="false">(INDEX(Raw_MY_exports!$B$2:$K$10,MATCH("France",Raw_MY_exports!$A$2:$A$10,0),8)+INDEX(Raw_MY_exports!$B$2:$K$10,MATCH("Germany",Raw_MY_exports!$A$2:$A$10,0),8)+INDEX(Raw_MY_exports!$B$2:$K$10,MATCH("Ireland",Raw_MY_exports!$A$2:$A$10,0),8)+INDEX(Raw_MY_exports!$B$2:$K$10,MATCH("Italy",Raw_MY_exports!$A$2:$A$10,0),8))/INDEX(Raw_partner_imports!$B$5:$J$5,1,8)/1000000</f>
        <v>0.866316767676768</v>
      </c>
      <c r="J12" s="20" t="n">
        <f aca="false">(INDEX(Raw_MY_exports!$B$2:$K$10,MATCH("France",Raw_MY_exports!$A$2:$A$10,0),9)+INDEX(Raw_MY_exports!$B$2:$K$10,MATCH("Germany",Raw_MY_exports!$A$2:$A$10,0),9)+INDEX(Raw_MY_exports!$B$2:$K$10,MATCH("Ireland",Raw_MY_exports!$A$2:$A$10,0),9)+INDEX(Raw_MY_exports!$B$2:$K$10,MATCH("Italy",Raw_MY_exports!$A$2:$A$10,0),9))/INDEX(Raw_partner_imports!$B$5:$J$5,1,9)/1000000</f>
        <v>3.01877995824635</v>
      </c>
    </row>
    <row r="13" customFormat="false" ht="15" hidden="false" customHeight="false" outlineLevel="0" collapsed="false">
      <c r="A13" s="14" t="s">
        <v>34</v>
      </c>
      <c r="B13" s="20" t="n">
        <f aca="false">INDEX(Raw_partner_imports!$B$3:$J$3,1,1)/1000000</f>
        <v>11.9186255</v>
      </c>
      <c r="C13" s="20" t="n">
        <f aca="false">INDEX(Raw_partner_imports!$B$3:$J$3,1,2)/1000000</f>
        <v>13.082494</v>
      </c>
      <c r="D13" s="20" t="n">
        <f aca="false">INDEX(Raw_partner_imports!$B$3:$J$3,1,3)/1000000</f>
        <v>9.56589</v>
      </c>
      <c r="E13" s="20" t="n">
        <f aca="false">INDEX(Raw_partner_imports!$B$3:$J$3,1,4)/1000000</f>
        <v>10.931848</v>
      </c>
      <c r="F13" s="20" t="n">
        <f aca="false">INDEX(Raw_partner_imports!$B$3:$J$3,1,5)/1000000</f>
        <v>9.141667</v>
      </c>
      <c r="G13" s="20" t="n">
        <f aca="false">INDEX(Raw_partner_imports!$B$3:$J$3,1,6)/1000000</f>
        <v>14.293436</v>
      </c>
      <c r="H13" s="20" t="n">
        <f aca="false">INDEX(Raw_partner_imports!$B$3:$J$3,1,7)/1000000</f>
        <v>5.83176</v>
      </c>
      <c r="I13" s="20" t="n">
        <f aca="false">INDEX(Raw_partner_imports!$B$3:$J$3,1,8)/1000000</f>
        <v>7.087694</v>
      </c>
      <c r="J13" s="20" t="n">
        <f aca="false">INDEX(Raw_partner_imports!$B$3:$J$3,1,9)/1000000</f>
        <v>6.652928</v>
      </c>
    </row>
  </sheetData>
  <mergeCells count="4">
    <mergeCell ref="A1:M1"/>
    <mergeCell ref="A2:M2"/>
    <mergeCell ref="A4:K4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2"/>
  </cols>
  <sheetData>
    <row r="1" customFormat="false" ht="15" hidden="false" customHeight="false" outlineLevel="0" collapsed="false">
      <c r="A1" s="5" t="s">
        <v>12</v>
      </c>
      <c r="B1" s="6" t="n">
        <v>2017</v>
      </c>
      <c r="C1" s="6" t="n">
        <v>2018</v>
      </c>
      <c r="D1" s="6" t="n">
        <v>2019</v>
      </c>
      <c r="E1" s="6" t="n">
        <v>2020</v>
      </c>
      <c r="F1" s="6" t="n">
        <v>2021</v>
      </c>
      <c r="G1" s="6" t="n">
        <v>2022</v>
      </c>
      <c r="H1" s="6" t="n">
        <v>2023</v>
      </c>
      <c r="I1" s="6" t="n">
        <v>2024</v>
      </c>
      <c r="J1" s="6" t="n">
        <v>2025</v>
      </c>
      <c r="K1" s="6" t="n">
        <v>2026</v>
      </c>
    </row>
    <row r="2" customFormat="false" ht="15" hidden="false" customHeight="false" outlineLevel="0" collapsed="false">
      <c r="A2" s="22" t="s">
        <v>22</v>
      </c>
      <c r="B2" s="23" t="n">
        <v>2198707</v>
      </c>
      <c r="C2" s="23" t="n">
        <v>1947830</v>
      </c>
      <c r="D2" s="23" t="n">
        <v>517546</v>
      </c>
      <c r="E2" s="23" t="n">
        <v>127145</v>
      </c>
      <c r="F2" s="23" t="n">
        <v>1201330</v>
      </c>
      <c r="G2" s="23" t="n">
        <v>497669</v>
      </c>
      <c r="H2" s="23" t="n">
        <v>1416289</v>
      </c>
      <c r="I2" s="23" t="n">
        <v>1434023</v>
      </c>
      <c r="J2" s="23" t="n">
        <v>31708</v>
      </c>
      <c r="K2" s="23" t="n">
        <v>46312</v>
      </c>
    </row>
    <row r="3" customFormat="false" ht="15" hidden="false" customHeight="false" outlineLevel="0" collapsed="false">
      <c r="A3" s="22" t="s">
        <v>16</v>
      </c>
      <c r="B3" s="23" t="n">
        <v>22509809</v>
      </c>
      <c r="C3" s="23" t="n">
        <v>16076326</v>
      </c>
      <c r="D3" s="23" t="n">
        <v>31611236</v>
      </c>
      <c r="E3" s="23" t="n">
        <v>30924805</v>
      </c>
      <c r="F3" s="23" t="n">
        <v>9323886</v>
      </c>
      <c r="G3" s="23" t="n">
        <v>43201604</v>
      </c>
      <c r="H3" s="23" t="n">
        <v>57166395</v>
      </c>
      <c r="I3" s="23" t="n">
        <v>110719913</v>
      </c>
      <c r="J3" s="23" t="n">
        <v>75767487</v>
      </c>
      <c r="K3" s="23" t="n">
        <v>54299669</v>
      </c>
    </row>
    <row r="4" customFormat="false" ht="15" hidden="false" customHeight="false" outlineLevel="0" collapsed="false">
      <c r="A4" s="22" t="s">
        <v>21</v>
      </c>
      <c r="B4" s="23" t="n">
        <v>2092064</v>
      </c>
      <c r="C4" s="23" t="n">
        <v>724600</v>
      </c>
      <c r="D4" s="23" t="n">
        <v>1658015</v>
      </c>
      <c r="E4" s="23" t="n">
        <v>1943219</v>
      </c>
      <c r="F4" s="23" t="n">
        <v>196117</v>
      </c>
      <c r="G4" s="23" t="n">
        <v>1236874</v>
      </c>
      <c r="H4" s="23" t="n">
        <v>575146</v>
      </c>
      <c r="I4" s="23" t="n">
        <v>76549</v>
      </c>
      <c r="J4" s="23" t="n">
        <v>609024</v>
      </c>
      <c r="K4" s="23" t="n">
        <v>16807</v>
      </c>
    </row>
    <row r="5" customFormat="false" ht="15" hidden="false" customHeight="false" outlineLevel="0" collapsed="false">
      <c r="A5" s="22" t="s">
        <v>18</v>
      </c>
      <c r="B5" s="23" t="n">
        <v>24106637</v>
      </c>
      <c r="C5" s="23" t="n">
        <v>21023899</v>
      </c>
      <c r="D5" s="23" t="n">
        <v>10654162</v>
      </c>
      <c r="E5" s="23" t="n">
        <v>10484535</v>
      </c>
      <c r="F5" s="23" t="n">
        <v>4498044</v>
      </c>
      <c r="G5" s="23" t="n">
        <v>4245293</v>
      </c>
      <c r="H5" s="23" t="n">
        <v>6019106</v>
      </c>
      <c r="I5" s="23" t="n">
        <v>3316892</v>
      </c>
      <c r="J5" s="23" t="n">
        <v>11462164</v>
      </c>
      <c r="K5" s="23" t="n">
        <v>1542822</v>
      </c>
    </row>
    <row r="6" customFormat="false" ht="15" hidden="false" customHeight="false" outlineLevel="0" collapsed="false">
      <c r="A6" s="22" t="s">
        <v>23</v>
      </c>
      <c r="B6" s="23" t="n">
        <v>161342</v>
      </c>
      <c r="C6" s="23" t="n">
        <v>0</v>
      </c>
      <c r="D6" s="23" t="n">
        <v>5313</v>
      </c>
      <c r="E6" s="23" t="n">
        <v>0</v>
      </c>
      <c r="F6" s="23" t="n">
        <v>124974</v>
      </c>
      <c r="G6" s="23" t="n">
        <v>1396766</v>
      </c>
      <c r="H6" s="23" t="n">
        <v>851821</v>
      </c>
      <c r="I6" s="23" t="n">
        <v>60</v>
      </c>
      <c r="J6" s="23" t="n">
        <v>10283</v>
      </c>
      <c r="K6" s="23" t="n">
        <v>0</v>
      </c>
    </row>
    <row r="7" customFormat="false" ht="15" hidden="false" customHeight="false" outlineLevel="0" collapsed="false">
      <c r="A7" s="22" t="s">
        <v>20</v>
      </c>
      <c r="B7" s="23" t="n">
        <v>607201</v>
      </c>
      <c r="C7" s="23" t="n">
        <v>950168</v>
      </c>
      <c r="D7" s="23" t="n">
        <v>576989</v>
      </c>
      <c r="E7" s="23" t="n">
        <v>914595</v>
      </c>
      <c r="F7" s="23" t="n">
        <v>1105919</v>
      </c>
      <c r="G7" s="23" t="n">
        <v>1106911</v>
      </c>
      <c r="H7" s="23" t="n">
        <v>336392</v>
      </c>
      <c r="I7" s="23" t="n">
        <v>894767</v>
      </c>
      <c r="J7" s="23" t="n">
        <v>2378485</v>
      </c>
      <c r="K7" s="23" t="n">
        <v>136746</v>
      </c>
    </row>
    <row r="8" customFormat="false" ht="15" hidden="false" customHeight="false" outlineLevel="0" collapsed="false">
      <c r="A8" s="22" t="s">
        <v>15</v>
      </c>
      <c r="B8" s="23" t="n">
        <v>144767154</v>
      </c>
      <c r="C8" s="23" t="n">
        <v>126085058</v>
      </c>
      <c r="D8" s="23" t="n">
        <v>112917274</v>
      </c>
      <c r="E8" s="23" t="n">
        <v>115305165</v>
      </c>
      <c r="F8" s="23" t="n">
        <v>149205677</v>
      </c>
      <c r="G8" s="23" t="n">
        <v>121394800</v>
      </c>
      <c r="H8" s="23" t="n">
        <v>124535632</v>
      </c>
      <c r="I8" s="23" t="n">
        <v>121766260</v>
      </c>
      <c r="J8" s="23" t="n">
        <v>123811836</v>
      </c>
      <c r="K8" s="23" t="n">
        <v>59680465</v>
      </c>
    </row>
    <row r="9" customFormat="false" ht="15" hidden="false" customHeight="false" outlineLevel="0" collapsed="false">
      <c r="A9" s="22" t="s">
        <v>19</v>
      </c>
      <c r="B9" s="23" t="n">
        <v>8176920</v>
      </c>
      <c r="C9" s="23" t="n">
        <v>4119896</v>
      </c>
      <c r="D9" s="23" t="n">
        <v>5534944</v>
      </c>
      <c r="E9" s="23" t="n">
        <v>2831271</v>
      </c>
      <c r="F9" s="23" t="n">
        <v>1760589</v>
      </c>
      <c r="G9" s="23" t="n">
        <v>5894559</v>
      </c>
      <c r="H9" s="23" t="n">
        <v>3924371</v>
      </c>
      <c r="I9" s="23" t="n">
        <v>5321087</v>
      </c>
      <c r="J9" s="23" t="n">
        <v>2702669</v>
      </c>
      <c r="K9" s="23" t="n">
        <v>541555</v>
      </c>
    </row>
    <row r="10" customFormat="false" ht="15" hidden="false" customHeight="false" outlineLevel="0" collapsed="false">
      <c r="A10" s="22" t="s">
        <v>17</v>
      </c>
      <c r="B10" s="23" t="n">
        <v>21882529</v>
      </c>
      <c r="C10" s="23" t="n">
        <v>17164587</v>
      </c>
      <c r="D10" s="23" t="n">
        <v>26694741</v>
      </c>
      <c r="E10" s="23" t="n">
        <v>23699638</v>
      </c>
      <c r="F10" s="23" t="n">
        <v>26387914</v>
      </c>
      <c r="G10" s="23" t="n">
        <v>41727671</v>
      </c>
      <c r="H10" s="23" t="n">
        <v>33930774</v>
      </c>
      <c r="I10" s="23" t="n">
        <v>74787756</v>
      </c>
      <c r="J10" s="23" t="n">
        <v>53083566</v>
      </c>
      <c r="K10" s="23" t="n">
        <v>28886641</v>
      </c>
    </row>
    <row r="12" customFormat="false" ht="15" hidden="false" customHeight="false" outlineLevel="0" collapsed="false">
      <c r="A12" s="2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5" t="s">
        <v>36</v>
      </c>
      <c r="B1" s="6" t="n">
        <v>2017</v>
      </c>
      <c r="C1" s="6" t="n">
        <v>2018</v>
      </c>
      <c r="D1" s="6" t="n">
        <v>2019</v>
      </c>
      <c r="E1" s="6" t="n">
        <v>2020</v>
      </c>
      <c r="F1" s="6" t="n">
        <v>2021</v>
      </c>
      <c r="G1" s="6" t="n">
        <v>2022</v>
      </c>
      <c r="H1" s="6" t="n">
        <v>2023</v>
      </c>
      <c r="I1" s="6" t="n">
        <v>2024</v>
      </c>
      <c r="J1" s="6" t="n">
        <v>2025</v>
      </c>
    </row>
    <row r="2" customFormat="false" ht="15" hidden="false" customHeight="false" outlineLevel="0" collapsed="false">
      <c r="A2" s="22" t="s">
        <v>37</v>
      </c>
      <c r="B2" s="23" t="n">
        <v>3533798</v>
      </c>
      <c r="C2" s="23" t="n">
        <v>2501611</v>
      </c>
      <c r="D2" s="23" t="n">
        <v>4182633</v>
      </c>
      <c r="E2" s="23" t="n">
        <v>3729844</v>
      </c>
      <c r="F2" s="23" t="n">
        <v>4920458</v>
      </c>
      <c r="G2" s="23" t="n">
        <v>6805013</v>
      </c>
      <c r="H2" s="23" t="n">
        <v>6982079</v>
      </c>
      <c r="I2" s="23" t="n">
        <v>9022971</v>
      </c>
      <c r="J2" s="23" t="n">
        <v>10642976</v>
      </c>
    </row>
    <row r="3" customFormat="false" ht="15" hidden="false" customHeight="false" outlineLevel="0" collapsed="false">
      <c r="A3" s="22" t="s">
        <v>38</v>
      </c>
      <c r="B3" s="23" t="n">
        <v>11918625.5</v>
      </c>
      <c r="C3" s="23" t="n">
        <v>13082494</v>
      </c>
      <c r="D3" s="23" t="n">
        <v>9565890</v>
      </c>
      <c r="E3" s="23" t="n">
        <v>10931848</v>
      </c>
      <c r="F3" s="23" t="n">
        <v>9141667</v>
      </c>
      <c r="G3" s="23" t="n">
        <v>14293436</v>
      </c>
      <c r="H3" s="23" t="n">
        <v>5831760</v>
      </c>
      <c r="I3" s="23" t="n">
        <v>7087694</v>
      </c>
      <c r="J3" s="23" t="n">
        <v>6652928</v>
      </c>
    </row>
    <row r="4" customFormat="false" ht="15" hidden="false" customHeight="false" outlineLevel="0" collapsed="false">
      <c r="A4" s="22" t="s">
        <v>39</v>
      </c>
      <c r="B4" s="25" t="n">
        <v>4.3</v>
      </c>
      <c r="C4" s="25" t="n">
        <v>4.035</v>
      </c>
      <c r="D4" s="25" t="n">
        <v>4.142</v>
      </c>
      <c r="E4" s="25" t="n">
        <v>4.203</v>
      </c>
      <c r="F4" s="25" t="n">
        <v>4.143</v>
      </c>
      <c r="G4" s="25" t="n">
        <v>4.401</v>
      </c>
      <c r="H4" s="25" t="n">
        <v>4.56</v>
      </c>
      <c r="I4" s="25" t="n">
        <v>4.575</v>
      </c>
      <c r="J4" s="25" t="n">
        <v>4.42</v>
      </c>
    </row>
    <row r="5" customFormat="false" ht="15" hidden="false" customHeight="false" outlineLevel="0" collapsed="false">
      <c r="A5" s="22" t="s">
        <v>40</v>
      </c>
      <c r="B5" s="25" t="n">
        <v>4.85</v>
      </c>
      <c r="C5" s="25" t="n">
        <v>4.77</v>
      </c>
      <c r="D5" s="25" t="n">
        <v>4.64</v>
      </c>
      <c r="E5" s="25" t="n">
        <v>4.8</v>
      </c>
      <c r="F5" s="25" t="n">
        <v>4.9</v>
      </c>
      <c r="G5" s="25" t="n">
        <v>4.63</v>
      </c>
      <c r="H5" s="25" t="n">
        <v>4.93</v>
      </c>
      <c r="I5" s="25" t="n">
        <v>4.95</v>
      </c>
      <c r="J5" s="25" t="n">
        <v>4.79</v>
      </c>
    </row>
    <row r="7" customFormat="false" ht="15" hidden="false" customHeight="false" outlineLevel="0" collapsed="false">
      <c r="A7" s="2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2026-07-02T06:48:56Z</dcterms:created>
  <dc:creator>openpyxl</dc:creator>
  <dc:description/>
  <dc:language>en-US</dc:language>
  <cp:lastModifiedBy/>
  <dcterms:modified xsi:type="dcterms:W3CDTF">2026-07-02T06:48:56Z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